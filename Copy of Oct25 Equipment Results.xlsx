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3820"/>
  <mc:AlternateContent xmlns:mc="http://schemas.openxmlformats.org/markup-compatibility/2006">
    <mc:Choice Requires="x15">
      <x15ac:absPath xmlns:x15ac="http://schemas.microsoft.com/office/spreadsheetml/2010/11/ac" url="J:\Job Files\Business Review\Oct\"/>
    </mc:Choice>
  </mc:AlternateContent>
  <xr:revisionPtr revIDLastSave="0" documentId="13_ncr:1_{F51502EC-C363-4F15-AC6A-1146CD31B2BD}" xr6:coauthVersionLast="47" xr6:coauthVersionMax="47" xr10:uidLastSave="{00000000-0000-0000-0000-000000000000}"/>
  <bookViews>
    <workbookView xWindow="-28920" yWindow="2190" windowWidth="29040" windowHeight="15720" xr2:uid="{00000000-000D-0000-FFFF-FFFF00000000}"/>
  </bookViews>
  <sheets>
    <sheet name="Trend" sheetId="4" r:id="rId1"/>
    <sheet name="Equipment Analysis" sheetId="3" r:id="rId2"/>
    <sheet name="UCCo_IMC" sheetId="1" r:id="rId3"/>
    <sheet name="Graph Data" sheetId="5" r:id="rId4"/>
  </sheets>
  <externalReferences>
    <externalReference r:id="rId5"/>
  </externalReferenc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7" i="5" l="1"/>
  <c r="W10" i="5" l="1"/>
  <c r="G35" i="5"/>
  <c r="F35" i="5"/>
  <c r="E35" i="5"/>
  <c r="D35" i="5"/>
  <c r="D34" i="5" s="1"/>
  <c r="C35" i="5"/>
  <c r="C34" i="5" s="1"/>
  <c r="B35" i="5"/>
  <c r="B34" i="5" s="1"/>
  <c r="H33" i="5"/>
  <c r="G33" i="5"/>
  <c r="G34" i="5" s="1"/>
  <c r="F33" i="5"/>
  <c r="F34" i="5" s="1"/>
  <c r="E33" i="5"/>
  <c r="E34" i="5" s="1"/>
  <c r="D33" i="5"/>
  <c r="C33" i="5"/>
  <c r="B33" i="5"/>
  <c r="G29" i="5"/>
  <c r="G28" i="5" s="1"/>
  <c r="F29" i="5"/>
  <c r="F28" i="5" s="1"/>
  <c r="E29" i="5"/>
  <c r="D29" i="5"/>
  <c r="C29" i="5"/>
  <c r="B29" i="5"/>
  <c r="E28" i="5"/>
  <c r="G27" i="5"/>
  <c r="F27" i="5"/>
  <c r="E27" i="5"/>
  <c r="D27" i="5"/>
  <c r="D28" i="5" s="1"/>
  <c r="C27" i="5"/>
  <c r="C28" i="5" s="1"/>
  <c r="B27" i="5"/>
  <c r="B28" i="5" s="1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V17" i="5"/>
  <c r="U17" i="5"/>
  <c r="T17" i="5"/>
  <c r="H35" i="5" s="1"/>
  <c r="H34" i="5" s="1"/>
  <c r="V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V15" i="5"/>
  <c r="U15" i="5"/>
  <c r="U16" i="5" s="1"/>
  <c r="T15" i="5"/>
  <c r="T16" i="5" s="1"/>
  <c r="V12" i="5"/>
  <c r="U12" i="5"/>
  <c r="H29" i="5" s="1"/>
  <c r="T12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V10" i="5"/>
  <c r="V11" i="5" s="1"/>
  <c r="U10" i="5"/>
  <c r="U11" i="5" s="1"/>
  <c r="T10" i="5"/>
  <c r="T11" i="5" s="1"/>
  <c r="H27" i="5" l="1"/>
  <c r="H28" i="5" s="1"/>
  <c r="N41" i="1" l="1"/>
  <c r="Q21" i="1"/>
  <c r="M20" i="1"/>
  <c r="Q29" i="3"/>
  <c r="R29" i="3"/>
  <c r="S29" i="3"/>
  <c r="T29" i="3"/>
  <c r="U29" i="3"/>
  <c r="V29" i="3"/>
  <c r="AB29" i="3"/>
  <c r="Q30" i="3"/>
  <c r="R30" i="3"/>
  <c r="S30" i="3"/>
  <c r="T30" i="3"/>
  <c r="U30" i="3"/>
  <c r="V30" i="3"/>
  <c r="Q31" i="3"/>
  <c r="R31" i="3"/>
  <c r="S31" i="3"/>
  <c r="T31" i="3"/>
  <c r="U31" i="3"/>
  <c r="V31" i="3"/>
  <c r="Q32" i="3"/>
  <c r="R32" i="3"/>
  <c r="S32" i="3"/>
  <c r="T32" i="3"/>
  <c r="U32" i="3"/>
  <c r="V32" i="3"/>
  <c r="Q33" i="3"/>
  <c r="R33" i="3"/>
  <c r="S33" i="3"/>
  <c r="T33" i="3"/>
  <c r="U33" i="3"/>
  <c r="V33" i="3"/>
  <c r="AB33" i="3"/>
  <c r="Q34" i="3"/>
  <c r="R34" i="3"/>
  <c r="S34" i="3"/>
  <c r="T34" i="3"/>
  <c r="U34" i="3"/>
  <c r="V34" i="3"/>
  <c r="Q35" i="3"/>
  <c r="R35" i="3"/>
  <c r="S35" i="3"/>
  <c r="T35" i="3"/>
  <c r="U35" i="3"/>
  <c r="V35" i="3"/>
  <c r="Q36" i="3"/>
  <c r="R36" i="3"/>
  <c r="S36" i="3"/>
  <c r="T36" i="3"/>
  <c r="U36" i="3"/>
  <c r="V36" i="3"/>
  <c r="AB36" i="3"/>
  <c r="Q37" i="3"/>
  <c r="R37" i="3"/>
  <c r="S37" i="3"/>
  <c r="T37" i="3"/>
  <c r="U37" i="3"/>
  <c r="V37" i="3"/>
  <c r="Q38" i="3"/>
  <c r="R38" i="3"/>
  <c r="S38" i="3"/>
  <c r="T38" i="3"/>
  <c r="U38" i="3"/>
  <c r="V38" i="3"/>
  <c r="AB38" i="3"/>
  <c r="N29" i="3"/>
  <c r="M29" i="3"/>
  <c r="N34" i="3"/>
  <c r="AB34" i="3" s="1"/>
  <c r="M34" i="3"/>
  <c r="J10" i="3"/>
  <c r="K10" i="3"/>
  <c r="L10" i="3"/>
  <c r="M10" i="3"/>
  <c r="N10" i="3"/>
  <c r="J11" i="3"/>
  <c r="K11" i="3"/>
  <c r="L11" i="3"/>
  <c r="M11" i="3"/>
  <c r="N11" i="3"/>
  <c r="J12" i="3"/>
  <c r="K12" i="3"/>
  <c r="L12" i="3"/>
  <c r="M12" i="3"/>
  <c r="N12" i="3"/>
  <c r="J13" i="3"/>
  <c r="K13" i="3"/>
  <c r="L13" i="3"/>
  <c r="M13" i="3"/>
  <c r="N13" i="3"/>
  <c r="J14" i="3"/>
  <c r="K14" i="3"/>
  <c r="L14" i="3"/>
  <c r="M14" i="3"/>
  <c r="N14" i="3"/>
  <c r="J15" i="3"/>
  <c r="K15" i="3"/>
  <c r="L15" i="3"/>
  <c r="M15" i="3"/>
  <c r="N15" i="3"/>
  <c r="J16" i="3"/>
  <c r="K16" i="3"/>
  <c r="L16" i="3"/>
  <c r="M16" i="3"/>
  <c r="N16" i="3"/>
  <c r="J17" i="3"/>
  <c r="K17" i="3"/>
  <c r="L17" i="3"/>
  <c r="M17" i="3"/>
  <c r="N17" i="3"/>
  <c r="J18" i="3"/>
  <c r="K18" i="3"/>
  <c r="L18" i="3"/>
  <c r="M18" i="3"/>
  <c r="N18" i="3"/>
  <c r="J19" i="3"/>
  <c r="K19" i="3"/>
  <c r="L19" i="3"/>
  <c r="M19" i="3"/>
  <c r="N19" i="3"/>
  <c r="J20" i="3"/>
  <c r="K20" i="3"/>
  <c r="L20" i="3"/>
  <c r="M20" i="3"/>
  <c r="N20" i="3"/>
  <c r="J21" i="3"/>
  <c r="K21" i="3"/>
  <c r="L21" i="3"/>
  <c r="M21" i="3"/>
  <c r="N21" i="3"/>
  <c r="I11" i="3"/>
  <c r="I12" i="3"/>
  <c r="I13" i="3"/>
  <c r="I14" i="3"/>
  <c r="I15" i="3"/>
  <c r="I16" i="3"/>
  <c r="I17" i="3"/>
  <c r="I18" i="3"/>
  <c r="I19" i="3"/>
  <c r="I20" i="3"/>
  <c r="I21" i="3"/>
  <c r="I10" i="3"/>
  <c r="M28" i="3"/>
  <c r="N28" i="3"/>
  <c r="M30" i="3"/>
  <c r="N30" i="3"/>
  <c r="AB30" i="3" s="1"/>
  <c r="M31" i="3"/>
  <c r="N31" i="3"/>
  <c r="AB31" i="3" s="1"/>
  <c r="M32" i="3"/>
  <c r="N32" i="3"/>
  <c r="AB32" i="3" s="1"/>
  <c r="M33" i="3"/>
  <c r="N33" i="3"/>
  <c r="M35" i="3"/>
  <c r="N35" i="3"/>
  <c r="AB35" i="3" s="1"/>
  <c r="M36" i="3"/>
  <c r="N36" i="3"/>
  <c r="M37" i="3"/>
  <c r="N37" i="3"/>
  <c r="AB37" i="3" s="1"/>
  <c r="M38" i="3"/>
  <c r="N38" i="3"/>
  <c r="O36" i="3" l="1"/>
  <c r="O35" i="3"/>
  <c r="O31" i="3"/>
  <c r="O38" i="3"/>
  <c r="O30" i="3"/>
  <c r="O33" i="3"/>
  <c r="O37" i="3"/>
  <c r="O32" i="3"/>
  <c r="O34" i="3"/>
  <c r="O29" i="3"/>
  <c r="L40" i="1"/>
  <c r="K40" i="1"/>
  <c r="Q32" i="1" l="1"/>
  <c r="Q31" i="1"/>
  <c r="Q30" i="1"/>
  <c r="Q29" i="1"/>
  <c r="Q28" i="1"/>
  <c r="Q27" i="1"/>
  <c r="Q26" i="1"/>
  <c r="Q25" i="1"/>
  <c r="Q24" i="1"/>
  <c r="Q23" i="1"/>
  <c r="Q22" i="1"/>
  <c r="Q17" i="1"/>
  <c r="Q16" i="1"/>
  <c r="Q15" i="1"/>
  <c r="Q14" i="1"/>
  <c r="Q13" i="1"/>
  <c r="Q12" i="1"/>
  <c r="Q11" i="1"/>
  <c r="Q10" i="1"/>
  <c r="Q9" i="1"/>
  <c r="Q8" i="1"/>
  <c r="Q7" i="1"/>
  <c r="Q5" i="1"/>
  <c r="P33" i="1"/>
  <c r="O33" i="1"/>
  <c r="N33" i="1"/>
  <c r="M33" i="1"/>
  <c r="L33" i="1"/>
  <c r="K33" i="1"/>
  <c r="J33" i="1"/>
  <c r="J34" i="1" s="1"/>
  <c r="I33" i="1"/>
  <c r="H33" i="1"/>
  <c r="H34" i="1" s="1"/>
  <c r="H35" i="1" s="1"/>
  <c r="G33" i="1"/>
  <c r="G34" i="1" s="1"/>
  <c r="G35" i="1" s="1"/>
  <c r="F33" i="1"/>
  <c r="F34" i="1" s="1"/>
  <c r="F35" i="1" s="1"/>
  <c r="E33" i="1"/>
  <c r="L21" i="1"/>
  <c r="K21" i="1"/>
  <c r="J21" i="1"/>
  <c r="I21" i="1"/>
  <c r="H21" i="1"/>
  <c r="G21" i="1"/>
  <c r="F21" i="1"/>
  <c r="E21" i="1"/>
  <c r="E34" i="1" s="1"/>
  <c r="K19" i="1"/>
  <c r="P18" i="1"/>
  <c r="P19" i="1" s="1"/>
  <c r="O18" i="1"/>
  <c r="O19" i="1" s="1"/>
  <c r="N18" i="1"/>
  <c r="N19" i="1" s="1"/>
  <c r="M18" i="1"/>
  <c r="M19" i="1" s="1"/>
  <c r="L18" i="1"/>
  <c r="L19" i="1" s="1"/>
  <c r="K18" i="1"/>
  <c r="J18" i="1"/>
  <c r="J19" i="1" s="1"/>
  <c r="I18" i="1"/>
  <c r="I19" i="1" s="1"/>
  <c r="H18" i="1"/>
  <c r="H19" i="1" s="1"/>
  <c r="G18" i="1"/>
  <c r="G19" i="1" s="1"/>
  <c r="F18" i="1"/>
  <c r="F19" i="1" s="1"/>
  <c r="E18" i="1"/>
  <c r="E19" i="1" s="1"/>
  <c r="E35" i="1" l="1"/>
  <c r="Q33" i="1"/>
  <c r="I34" i="1"/>
  <c r="I35" i="1" s="1"/>
  <c r="J35" i="1"/>
  <c r="Q18" i="1"/>
  <c r="K34" i="1"/>
  <c r="K35" i="1" s="1"/>
  <c r="L34" i="1"/>
  <c r="L35" i="1" s="1"/>
  <c r="M34" i="1"/>
  <c r="M35" i="1" s="1"/>
  <c r="C50" i="3"/>
  <c r="C51" i="3"/>
  <c r="C52" i="3"/>
  <c r="C53" i="3"/>
  <c r="N45" i="3"/>
  <c r="M45" i="3"/>
  <c r="L45" i="3"/>
  <c r="K45" i="3"/>
  <c r="J45" i="3"/>
  <c r="I45" i="3"/>
  <c r="H45" i="3"/>
  <c r="G45" i="3"/>
  <c r="F45" i="3"/>
  <c r="E45" i="3"/>
  <c r="D45" i="3"/>
  <c r="C45" i="3"/>
  <c r="O44" i="3"/>
  <c r="O43" i="3"/>
  <c r="O45" i="3" l="1"/>
  <c r="N62" i="3" l="1"/>
  <c r="M62" i="3"/>
  <c r="L62" i="3"/>
  <c r="K62" i="3"/>
  <c r="J62" i="3"/>
  <c r="I62" i="3"/>
  <c r="H62" i="3"/>
  <c r="G62" i="3"/>
  <c r="F62" i="3"/>
  <c r="E62" i="3"/>
  <c r="D62" i="3"/>
  <c r="N39" i="3"/>
  <c r="M39" i="3"/>
  <c r="L39" i="3"/>
  <c r="W15" i="5" s="1"/>
  <c r="I33" i="5" s="1"/>
  <c r="K39" i="3"/>
  <c r="J39" i="3"/>
  <c r="I39" i="3"/>
  <c r="H39" i="3"/>
  <c r="G39" i="3"/>
  <c r="F39" i="3"/>
  <c r="E39" i="3"/>
  <c r="D39" i="3"/>
  <c r="C39" i="3"/>
  <c r="Q39" i="3" s="1"/>
  <c r="O28" i="3"/>
  <c r="N22" i="3"/>
  <c r="M22" i="3"/>
  <c r="L22" i="3"/>
  <c r="K22" i="3"/>
  <c r="J22" i="3"/>
  <c r="I22" i="3"/>
  <c r="H22" i="3"/>
  <c r="G22" i="3"/>
  <c r="F22" i="3"/>
  <c r="E22" i="3"/>
  <c r="D22" i="3"/>
  <c r="C22" i="3"/>
  <c r="O21" i="3"/>
  <c r="O20" i="3"/>
  <c r="O19" i="3"/>
  <c r="O18" i="3"/>
  <c r="O17" i="3"/>
  <c r="O16" i="3"/>
  <c r="O15" i="3"/>
  <c r="O14" i="3"/>
  <c r="O13" i="3"/>
  <c r="O12" i="3"/>
  <c r="O11" i="3"/>
  <c r="O10" i="3"/>
  <c r="L52" i="3" l="1"/>
  <c r="L51" i="3"/>
  <c r="W17" i="5" s="1"/>
  <c r="I35" i="5" s="1"/>
  <c r="L50" i="3"/>
  <c r="J51" i="3"/>
  <c r="J50" i="3"/>
  <c r="J53" i="3"/>
  <c r="J52" i="3"/>
  <c r="K52" i="3"/>
  <c r="K51" i="3"/>
  <c r="K50" i="3"/>
  <c r="K53" i="3"/>
  <c r="L53" i="3"/>
  <c r="I51" i="3"/>
  <c r="I53" i="3"/>
  <c r="I50" i="3"/>
  <c r="I52" i="3"/>
  <c r="X39" i="3"/>
  <c r="M53" i="3"/>
  <c r="M52" i="3"/>
  <c r="M51" i="3"/>
  <c r="M50" i="3"/>
  <c r="N53" i="3"/>
  <c r="N50" i="3"/>
  <c r="N52" i="3"/>
  <c r="AB16" i="3" s="1"/>
  <c r="N51" i="3"/>
  <c r="AB39" i="3" s="1"/>
  <c r="H53" i="3"/>
  <c r="H50" i="3"/>
  <c r="H52" i="3"/>
  <c r="H51" i="3"/>
  <c r="G52" i="3"/>
  <c r="G53" i="3"/>
  <c r="G51" i="3"/>
  <c r="G50" i="3"/>
  <c r="U39" i="3"/>
  <c r="F50" i="3"/>
  <c r="F52" i="3"/>
  <c r="F53" i="3"/>
  <c r="F51" i="3"/>
  <c r="E52" i="3"/>
  <c r="E53" i="3"/>
  <c r="E50" i="3"/>
  <c r="E51" i="3"/>
  <c r="D53" i="3"/>
  <c r="D51" i="3"/>
  <c r="D50" i="3"/>
  <c r="D52" i="3"/>
  <c r="Q28" i="3"/>
  <c r="O22" i="3"/>
  <c r="O39" i="3"/>
  <c r="W12" i="5" l="1"/>
  <c r="I29" i="5" s="1"/>
  <c r="W11" i="5"/>
  <c r="I28" i="5" s="1"/>
  <c r="W16" i="5"/>
  <c r="I34" i="5" s="1"/>
  <c r="AA39" i="3"/>
  <c r="AA38" i="3"/>
  <c r="AA29" i="3"/>
  <c r="AA36" i="3"/>
  <c r="AA35" i="3"/>
  <c r="AA37" i="3"/>
  <c r="AA30" i="3"/>
  <c r="AA32" i="3"/>
  <c r="AA31" i="3"/>
  <c r="AA34" i="3"/>
  <c r="AA33" i="3"/>
  <c r="Z37" i="3"/>
  <c r="Z32" i="3"/>
  <c r="Z34" i="3"/>
  <c r="Z31" i="3"/>
  <c r="Z29" i="3"/>
  <c r="Z36" i="3"/>
  <c r="Z35" i="3"/>
  <c r="Z38" i="3"/>
  <c r="Z30" i="3"/>
  <c r="Z33" i="3"/>
  <c r="Y39" i="3"/>
  <c r="Y34" i="3"/>
  <c r="Y38" i="3"/>
  <c r="Y30" i="3"/>
  <c r="Y35" i="3"/>
  <c r="Y31" i="3"/>
  <c r="Y36" i="3"/>
  <c r="Y32" i="3"/>
  <c r="Y33" i="3"/>
  <c r="Y37" i="3"/>
  <c r="Y29" i="3"/>
  <c r="X22" i="3"/>
  <c r="X35" i="3"/>
  <c r="X30" i="3"/>
  <c r="X38" i="3"/>
  <c r="X33" i="3"/>
  <c r="X32" i="3"/>
  <c r="X36" i="3"/>
  <c r="X31" i="3"/>
  <c r="X34" i="3"/>
  <c r="X29" i="3"/>
  <c r="X37" i="3"/>
  <c r="W39" i="3"/>
  <c r="W31" i="3"/>
  <c r="W30" i="3"/>
  <c r="W36" i="3"/>
  <c r="W33" i="3"/>
  <c r="W35" i="3"/>
  <c r="W37" i="3"/>
  <c r="W32" i="3"/>
  <c r="W29" i="3"/>
  <c r="W34" i="3"/>
  <c r="W38" i="3"/>
  <c r="Y17" i="3"/>
  <c r="L54" i="3"/>
  <c r="I54" i="3"/>
  <c r="AB22" i="3"/>
  <c r="G54" i="3"/>
  <c r="AA22" i="3"/>
  <c r="Z14" i="3"/>
  <c r="Z22" i="3"/>
  <c r="K54" i="3"/>
  <c r="AB28" i="3"/>
  <c r="W28" i="3"/>
  <c r="X19" i="3"/>
  <c r="W15" i="3"/>
  <c r="W10" i="3"/>
  <c r="W21" i="3"/>
  <c r="W14" i="3"/>
  <c r="W18" i="3"/>
  <c r="W16" i="3"/>
  <c r="W19" i="3"/>
  <c r="W12" i="3"/>
  <c r="W11" i="3"/>
  <c r="W20" i="3"/>
  <c r="W13" i="3"/>
  <c r="W17" i="3"/>
  <c r="X17" i="3"/>
  <c r="X18" i="3"/>
  <c r="X15" i="3"/>
  <c r="X21" i="3"/>
  <c r="X12" i="3"/>
  <c r="X20" i="3"/>
  <c r="X14" i="3"/>
  <c r="X16" i="3"/>
  <c r="X13" i="3"/>
  <c r="X10" i="3"/>
  <c r="X11" i="3"/>
  <c r="W22" i="3"/>
  <c r="U22" i="3"/>
  <c r="AA28" i="3"/>
  <c r="AB13" i="3"/>
  <c r="AB18" i="3"/>
  <c r="AB17" i="3"/>
  <c r="AB10" i="3"/>
  <c r="AB20" i="3"/>
  <c r="AB14" i="3"/>
  <c r="AB19" i="3"/>
  <c r="AB12" i="3"/>
  <c r="AB21" i="3"/>
  <c r="AB15" i="3"/>
  <c r="AB11" i="3"/>
  <c r="N54" i="3"/>
  <c r="Z11" i="3"/>
  <c r="Z20" i="3"/>
  <c r="Z17" i="3"/>
  <c r="Z10" i="3"/>
  <c r="Z16" i="3"/>
  <c r="Z18" i="3"/>
  <c r="Z15" i="3"/>
  <c r="Z21" i="3"/>
  <c r="Z13" i="3"/>
  <c r="Z12" i="3"/>
  <c r="Z19" i="3"/>
  <c r="Y14" i="3"/>
  <c r="Y10" i="3"/>
  <c r="Y19" i="3"/>
  <c r="Y11" i="3"/>
  <c r="Y21" i="3"/>
  <c r="Y20" i="3"/>
  <c r="Y16" i="3"/>
  <c r="Y13" i="3"/>
  <c r="Y15" i="3"/>
  <c r="Y12" i="3"/>
  <c r="Y18" i="3"/>
  <c r="X28" i="3"/>
  <c r="AA16" i="3"/>
  <c r="AA11" i="3"/>
  <c r="AA13" i="3"/>
  <c r="AA10" i="3"/>
  <c r="AA15" i="3"/>
  <c r="AA18" i="3"/>
  <c r="AA21" i="3"/>
  <c r="AA19" i="3"/>
  <c r="AA14" i="3"/>
  <c r="AA12" i="3"/>
  <c r="AA17" i="3"/>
  <c r="AA20" i="3"/>
  <c r="Y22" i="3"/>
  <c r="J54" i="3"/>
  <c r="M54" i="3"/>
  <c r="Z28" i="3"/>
  <c r="Y28" i="3"/>
  <c r="Z39" i="3"/>
  <c r="V39" i="3"/>
  <c r="V28" i="3"/>
  <c r="V17" i="3"/>
  <c r="V13" i="3"/>
  <c r="V15" i="3"/>
  <c r="V10" i="3"/>
  <c r="V21" i="3"/>
  <c r="V22" i="3"/>
  <c r="V16" i="3"/>
  <c r="V20" i="3"/>
  <c r="V11" i="3"/>
  <c r="V19" i="3"/>
  <c r="V12" i="3"/>
  <c r="V18" i="3"/>
  <c r="V14" i="3"/>
  <c r="H54" i="3"/>
  <c r="U17" i="3"/>
  <c r="U13" i="3"/>
  <c r="U21" i="3"/>
  <c r="U12" i="3"/>
  <c r="U14" i="3"/>
  <c r="U11" i="3"/>
  <c r="U10" i="3"/>
  <c r="U16" i="3"/>
  <c r="U20" i="3"/>
  <c r="U19" i="3"/>
  <c r="U15" i="3"/>
  <c r="U18" i="3"/>
  <c r="U28" i="3"/>
  <c r="O52" i="3"/>
  <c r="F54" i="3"/>
  <c r="O53" i="3"/>
  <c r="T28" i="3"/>
  <c r="T39" i="3"/>
  <c r="O51" i="3"/>
  <c r="T10" i="3"/>
  <c r="T13" i="3"/>
  <c r="T19" i="3"/>
  <c r="T18" i="3"/>
  <c r="T14" i="3"/>
  <c r="T21" i="3"/>
  <c r="T22" i="3"/>
  <c r="T15" i="3"/>
  <c r="T16" i="3"/>
  <c r="T12" i="3"/>
  <c r="T20" i="3"/>
  <c r="T11" i="3"/>
  <c r="T17" i="3"/>
  <c r="S28" i="3"/>
  <c r="S10" i="3"/>
  <c r="S18" i="3"/>
  <c r="S17" i="3"/>
  <c r="S14" i="3"/>
  <c r="S21" i="3"/>
  <c r="S20" i="3"/>
  <c r="S15" i="3"/>
  <c r="S16" i="3"/>
  <c r="S11" i="3"/>
  <c r="S12" i="3"/>
  <c r="S19" i="3"/>
  <c r="S13" i="3"/>
  <c r="E54" i="3"/>
  <c r="S22" i="3"/>
  <c r="S39" i="3"/>
  <c r="R11" i="3"/>
  <c r="R17" i="3"/>
  <c r="R12" i="3"/>
  <c r="R16" i="3"/>
  <c r="R15" i="3"/>
  <c r="R13" i="3"/>
  <c r="R10" i="3"/>
  <c r="R19" i="3"/>
  <c r="R22" i="3"/>
  <c r="R20" i="3"/>
  <c r="R21" i="3"/>
  <c r="R18" i="3"/>
  <c r="R14" i="3"/>
  <c r="R28" i="3"/>
  <c r="R39" i="3"/>
  <c r="AC33" i="3" l="1"/>
  <c r="AC30" i="3"/>
  <c r="AC38" i="3"/>
  <c r="AC32" i="3"/>
  <c r="AC31" i="3"/>
  <c r="AC35" i="3"/>
  <c r="AC29" i="3"/>
  <c r="AC37" i="3"/>
  <c r="AC34" i="3"/>
  <c r="AC36" i="3"/>
  <c r="AC28" i="3"/>
  <c r="AC39" i="3"/>
  <c r="F4" i="1" l="1"/>
  <c r="G4" i="1"/>
  <c r="H4" i="1"/>
  <c r="I4" i="1"/>
  <c r="J4" i="1"/>
  <c r="K4" i="1"/>
  <c r="L4" i="1"/>
  <c r="M4" i="1"/>
  <c r="N4" i="1"/>
  <c r="O4" i="1"/>
  <c r="P4" i="1"/>
  <c r="E4" i="1"/>
  <c r="Q41" i="1"/>
  <c r="Q40" i="1"/>
  <c r="Q4" i="1" l="1"/>
  <c r="Q6" i="1" s="1"/>
  <c r="Q19" i="1" s="1"/>
  <c r="C62" i="3"/>
  <c r="Q17" i="3"/>
  <c r="Q20" i="3" l="1"/>
  <c r="Q13" i="3"/>
  <c r="Q16" i="3"/>
  <c r="Q22" i="3"/>
  <c r="Q11" i="3"/>
  <c r="Q18" i="3"/>
  <c r="Q15" i="3"/>
  <c r="D54" i="3"/>
  <c r="C54" i="3"/>
  <c r="Q21" i="3"/>
  <c r="O50" i="3"/>
  <c r="Q12" i="3"/>
  <c r="Q10" i="3"/>
  <c r="Q19" i="3"/>
  <c r="Q14" i="3"/>
  <c r="AC14" i="3" l="1"/>
  <c r="AC15" i="3"/>
  <c r="AC20" i="3"/>
  <c r="O54" i="3"/>
  <c r="AC10" i="3"/>
  <c r="AC22" i="3"/>
  <c r="AC13" i="3"/>
  <c r="AC16" i="3"/>
  <c r="AC17" i="3"/>
  <c r="AC18" i="3"/>
  <c r="AC21" i="3"/>
  <c r="AC11" i="3"/>
  <c r="AC12" i="3"/>
  <c r="AC19" i="3"/>
  <c r="N34" i="1"/>
  <c r="N35" i="1" s="1"/>
  <c r="N20" i="1"/>
  <c r="O35" i="1"/>
  <c r="O34" i="1"/>
  <c r="O20" i="1"/>
  <c r="P20" i="1"/>
  <c r="P34" i="1"/>
  <c r="P35" i="1" s="1"/>
  <c r="Q20" i="1" l="1"/>
  <c r="Q34" i="1" s="1"/>
  <c r="Q3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tc={0557BA6E-EC0E-406A-9ACC-ECB0CC5CE59C}</author>
    <author>tc={CCC149FC-4989-4726-BE15-B8777B78B71A}</author>
  </authors>
  <commentList>
    <comment ref="B40" authorId="0" shapeId="0" xr:uid="{0557BA6E-EC0E-406A-9ACC-ECB0CC5CE59C}">
      <text>
        <t>[Threaded comment]
Your version of Excel allows you to read this threaded comment; however, any edits to it will get removed if the file is opened in a newer version of Excel. Learn more: https://go.microsoft.com/fwlink/?linkid=870924
Comment:
    IPM Account 541100 ( All Co)</t>
      </text>
    </comment>
    <comment ref="B41" authorId="1" shapeId="0" xr:uid="{CCC149FC-4989-4726-BE15-B8777B78B71A}">
      <text>
        <t>[Threaded comment]
Your version of Excel allows you to read this threaded comment; however, any edits to it will get removed if the file is opened in a newer version of Excel. Learn more: https://go.microsoft.com/fwlink/?linkid=870924
Comment:
    IPM Acct 541400, 541500, 541600 (All Co)</t>
      </text>
    </comment>
  </commentList>
</comments>
</file>

<file path=xl/sharedStrings.xml><?xml version="1.0" encoding="utf-8"?>
<sst xmlns="http://schemas.openxmlformats.org/spreadsheetml/2006/main" count="277" uniqueCount="104">
  <si>
    <t>Company Name</t>
  </si>
  <si>
    <t>Indirect Cost Type</t>
  </si>
  <si>
    <t>Equipment Cost Category</t>
  </si>
  <si>
    <t>Company Number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</si>
  <si>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</si>
  <si>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</si>
  <si>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</si>
  <si>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</si>
  <si>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</si>
  <si>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</si>
  <si>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</si>
  <si>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</si>
  <si>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</si>
  <si>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</si>
  <si>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</si>
  <si>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</si>
  <si>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 To Date</t>
  </si>
  <si>
    <t xml:space="preserve">UNDERGROUND CONSTRUCTION CO.  </t>
  </si>
  <si>
    <t>1_Income</t>
  </si>
  <si>
    <t>2_Cost</t>
  </si>
  <si>
    <t>2_Labor/Burden</t>
  </si>
  <si>
    <t>3_EQ Rentals</t>
  </si>
  <si>
    <t>4_EQ Leasing</t>
  </si>
  <si>
    <t>5_Depreciation</t>
  </si>
  <si>
    <t>6_Outside Materials</t>
  </si>
  <si>
    <t>7_Fuel</t>
  </si>
  <si>
    <t>8_Other</t>
  </si>
  <si>
    <t xml:space="preserve">ISLAND MECHANICAL CORPORATION </t>
  </si>
  <si>
    <t>1_Income - Total</t>
  </si>
  <si>
    <t>2_Cost - Total</t>
  </si>
  <si>
    <t>ISLAND MECHANICAL CORPORATION  - Total</t>
  </si>
  <si>
    <t>6.1_3rd Party Labor</t>
  </si>
  <si>
    <t>7.1_Insurance/Taxes</t>
  </si>
  <si>
    <t>7.2_DMV Fees</t>
  </si>
  <si>
    <t>Direct Fuel Expense</t>
  </si>
  <si>
    <t>Direct Equipment Rental Expense</t>
  </si>
  <si>
    <t>UCCo</t>
  </si>
  <si>
    <t>IMC</t>
  </si>
  <si>
    <t>Equipment Division Hours</t>
  </si>
  <si>
    <t>Total</t>
  </si>
  <si>
    <t>6.2_Inventory Purchase</t>
  </si>
  <si>
    <t>6.3_ Inventory Sales</t>
  </si>
  <si>
    <t>1_Income Owned</t>
  </si>
  <si>
    <t>1_Income Rental</t>
  </si>
  <si>
    <t>UNDERGROUND CONSTRUCTION CO.   - Total</t>
  </si>
  <si>
    <t>Overall - Total</t>
  </si>
  <si>
    <t>Underground Construction</t>
  </si>
  <si>
    <t>UCCo/UEC</t>
  </si>
  <si>
    <t>Equipment Costs</t>
  </si>
  <si>
    <t>Equipment Costs per direct manhour</t>
  </si>
  <si>
    <t>YTD</t>
  </si>
  <si>
    <t>Dec</t>
  </si>
  <si>
    <t>Labor/Burden</t>
  </si>
  <si>
    <t>EQ Rentals</t>
  </si>
  <si>
    <t>EQ Leasing</t>
  </si>
  <si>
    <t>Depreciation</t>
  </si>
  <si>
    <t>Outside Materials</t>
  </si>
  <si>
    <t>3rd Party Labor</t>
  </si>
  <si>
    <t>Inventory Purchase</t>
  </si>
  <si>
    <t xml:space="preserve"> Inventory Sales</t>
  </si>
  <si>
    <t>Fuel</t>
  </si>
  <si>
    <t>Insurance/Taxes</t>
  </si>
  <si>
    <t>DMV Fees</t>
  </si>
  <si>
    <t>Other</t>
  </si>
  <si>
    <t>Total Costs</t>
  </si>
  <si>
    <t>Island Mechanical</t>
  </si>
  <si>
    <t>Direct Manhours by Month</t>
  </si>
  <si>
    <t>UEC</t>
  </si>
  <si>
    <t>VET</t>
  </si>
  <si>
    <t>Direct Manhours - YTD</t>
  </si>
  <si>
    <t>2025 Equipment Rollup Summary</t>
  </si>
  <si>
    <t xml:space="preserve">                               -  </t>
  </si>
  <si>
    <t>Manhours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</si>
  <si>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</si>
  <si>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</si>
  <si>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</si>
  <si>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</si>
  <si>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</si>
  <si>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</si>
  <si>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</si>
  <si>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</si>
  <si>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</si>
  <si>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</si>
  <si>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</si>
  <si>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</si>
  <si>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</si>
  <si>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</si>
  <si>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</si>
  <si>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</si>
  <si>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</si>
  <si>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</si>
  <si>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</si>
  <si>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</si>
  <si>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Sept-25</t>
  </si>
  <si>
    <t>Fleet Costs</t>
  </si>
  <si>
    <t>$/DMH</t>
  </si>
  <si>
    <t>MH</t>
  </si>
  <si>
    <t>Q1-24</t>
  </si>
  <si>
    <t>Q2-24</t>
  </si>
  <si>
    <t>Q3-24</t>
  </si>
  <si>
    <t>Q4-24</t>
  </si>
  <si>
    <t>Q1-25</t>
  </si>
  <si>
    <t>Q2-25</t>
  </si>
  <si>
    <t>Q3-25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</si>
</sst>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0"/>
    <numFmt numFmtId="165" formatCode="_(* #,##0_);_(* \(#,##0\);_(* &quot;-&quot;??_);_(@_)"/>
    <numFmt numFmtId="166" formatCode="_(&quot;$&quot;* #,##0_);_(&quot;$&quot;* \(#,##0\);_(&quot;$&quot;* &quot;-&quot;??_);_(@_)"/>
    <numFmt numFmtId="167" formatCode="mmmm\ yyyy"/>
  </numFmts>
  <fonts count="11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b/>
      <i/>
      <sz val="20"/>
      <color theme="1"/>
      <name val="Arial Black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45454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BDDAF3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rgb="FFE2E2E2"/>
      </left>
      <right style="medium">
        <color rgb="FFE2E2E2"/>
      </right>
      <top/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auto="1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auto="1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/>
      <diagonal/>
    </border>
    <border>
      <left style="medium">
        <color rgb="FFCCCCCC"/>
      </left>
      <right style="medium">
        <color auto="1"/>
      </right>
      <top style="medium">
        <color rgb="FFCCCCCC"/>
      </top>
      <bottom style="medium">
        <color rgb="FFCCCCCC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/>
      <top style="medium">
        <color rgb="FFCCCCCC"/>
      </top>
      <bottom style="medium">
        <color rgb="FFCCCCCC"/>
      </bottom>
      <diagonal/>
    </border>
    <border>
      <left style="medium">
        <color auto="1"/>
      </left>
      <right/>
      <top style="medium">
        <color rgb="FFCCCCCC"/>
      </top>
      <bottom style="medium">
        <color auto="1"/>
      </bottom>
      <diagonal/>
    </border>
    <border>
      <left/>
      <right/>
      <top style="medium">
        <color rgb="FFCCCCCC"/>
      </top>
      <bottom style="medium">
        <color auto="1"/>
      </bottom>
      <diagonal/>
    </border>
    <border>
      <left/>
      <right style="medium">
        <color rgb="FFCCCCCC"/>
      </right>
      <top style="medium">
        <color rgb="FFCCCCCC"/>
      </top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auto="1"/>
      </bottom>
      <diagonal/>
    </border>
    <border>
      <left style="medium">
        <color rgb="FFCCCCCC"/>
      </left>
      <right style="medium">
        <color auto="1"/>
      </right>
      <top style="medium">
        <color rgb="FFCCCCCC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2">
    <xf numFmtId="0" fontId="0" fillId="0" borderId="0" xfId="0"/>
    <xf numFmtId="0" fontId="2" fillId="0" borderId="8" xfId="0" applyFont="1" applyBorder="1" applyAlignment="1">
      <alignment vertical="center"/>
    </xf>
    <xf numFmtId="0" fontId="0" fillId="0" borderId="9" xfId="0" applyBorder="1"/>
    <xf numFmtId="0" fontId="0" fillId="0" borderId="10" xfId="0" applyBorder="1"/>
    <xf numFmtId="0" fontId="0" fillId="0" borderId="8" xfId="0" applyBorder="1"/>
    <xf numFmtId="0" fontId="3" fillId="2" borderId="11" xfId="0" applyFont="1" applyFill="1" applyBorder="1" applyAlignment="1">
      <alignment horizontal="center" vertical="top"/>
    </xf>
    <xf numFmtId="0" fontId="3" fillId="2" borderId="12" xfId="0" applyFont="1" applyFill="1" applyBorder="1" applyAlignment="1">
      <alignment horizontal="center" vertical="top"/>
    </xf>
    <xf numFmtId="0" fontId="3" fillId="2" borderId="13" xfId="0" applyFont="1" applyFill="1" applyBorder="1" applyAlignment="1">
      <alignment horizontal="center" vertical="top"/>
    </xf>
    <xf numFmtId="0" fontId="3" fillId="0" borderId="14" xfId="0" applyFont="1" applyBorder="1" applyAlignment="1">
      <alignment vertical="top"/>
    </xf>
    <xf numFmtId="0" fontId="3" fillId="0" borderId="3" xfId="0" applyFont="1" applyBorder="1" applyAlignment="1">
      <alignment horizontal="left" vertical="top"/>
    </xf>
    <xf numFmtId="164" fontId="3" fillId="0" borderId="3" xfId="0" applyNumberFormat="1" applyFont="1" applyBorder="1" applyAlignment="1">
      <alignment horizontal="left" vertical="top"/>
    </xf>
    <xf numFmtId="4" fontId="3" fillId="0" borderId="3" xfId="0" applyNumberFormat="1" applyFont="1" applyBorder="1" applyAlignment="1">
      <alignment horizontal="right" vertical="top"/>
    </xf>
    <xf numFmtId="4" fontId="3" fillId="0" borderId="15" xfId="0" applyNumberFormat="1" applyFont="1" applyBorder="1" applyAlignment="1">
      <alignment horizontal="right" vertical="top"/>
    </xf>
    <xf numFmtId="0" fontId="3" fillId="0" borderId="16" xfId="0" applyFont="1" applyBorder="1" applyAlignment="1">
      <alignment vertical="top"/>
    </xf>
    <xf numFmtId="0" fontId="0" fillId="0" borderId="16" xfId="0" applyBorder="1"/>
    <xf numFmtId="0" fontId="4" fillId="3" borderId="4" xfId="0" applyFont="1" applyFill="1" applyBorder="1" applyAlignment="1">
      <alignment vertical="top"/>
    </xf>
    <xf numFmtId="0" fontId="0" fillId="3" borderId="5" xfId="0" applyFill="1" applyBorder="1"/>
    <xf numFmtId="0" fontId="0" fillId="3" borderId="6" xfId="0" applyFill="1" applyBorder="1"/>
    <xf numFmtId="4" fontId="4" fillId="3" borderId="7" xfId="0" applyNumberFormat="1" applyFont="1" applyFill="1" applyBorder="1" applyAlignment="1">
      <alignment horizontal="right" vertical="top"/>
    </xf>
    <xf numFmtId="4" fontId="4" fillId="3" borderId="17" xfId="0" applyNumberFormat="1" applyFont="1" applyFill="1" applyBorder="1" applyAlignment="1">
      <alignment horizontal="right" vertical="top"/>
    </xf>
    <xf numFmtId="0" fontId="3" fillId="0" borderId="3" xfId="0" applyFont="1" applyBorder="1" applyAlignment="1">
      <alignment vertical="top"/>
    </xf>
    <xf numFmtId="0" fontId="0" fillId="0" borderId="1" xfId="0" applyBorder="1"/>
    <xf numFmtId="0" fontId="0" fillId="0" borderId="2" xfId="0" applyBorder="1"/>
    <xf numFmtId="0" fontId="0" fillId="0" borderId="18" xfId="0" applyBorder="1"/>
    <xf numFmtId="0" fontId="4" fillId="3" borderId="19" xfId="0" applyFont="1" applyFill="1" applyBorder="1" applyAlignment="1">
      <alignment vertical="top"/>
    </xf>
    <xf numFmtId="0" fontId="3" fillId="0" borderId="1" xfId="0" applyFont="1" applyBorder="1" applyAlignment="1">
      <alignment vertical="top"/>
    </xf>
    <xf numFmtId="0" fontId="4" fillId="4" borderId="20" xfId="0" applyFont="1" applyFill="1" applyBorder="1" applyAlignment="1">
      <alignment vertical="top"/>
    </xf>
    <xf numFmtId="0" fontId="0" fillId="4" borderId="21" xfId="0" applyFill="1" applyBorder="1"/>
    <xf numFmtId="0" fontId="0" fillId="4" borderId="22" xfId="0" applyFill="1" applyBorder="1"/>
    <xf numFmtId="4" fontId="4" fillId="4" borderId="23" xfId="0" applyNumberFormat="1" applyFont="1" applyFill="1" applyBorder="1" applyAlignment="1">
      <alignment horizontal="right" vertical="top"/>
    </xf>
    <xf numFmtId="4" fontId="4" fillId="4" borderId="24" xfId="0" applyNumberFormat="1" applyFont="1" applyFill="1" applyBorder="1" applyAlignment="1">
      <alignment horizontal="right" vertical="top"/>
    </xf>
    <xf numFmtId="165" fontId="0" fillId="0" borderId="0" xfId="1" applyNumberFormat="1" applyFont="1"/>
    <xf numFmtId="165" fontId="0" fillId="0" borderId="0" xfId="0" applyNumberFormat="1"/>
    <xf numFmtId="166" fontId="0" fillId="0" borderId="0" xfId="2" applyNumberFormat="1" applyFont="1"/>
    <xf numFmtId="0" fontId="5" fillId="0" borderId="0" xfId="0" applyFont="1"/>
    <xf numFmtId="0" fontId="6" fillId="0" borderId="0" xfId="0" applyFont="1"/>
    <xf numFmtId="165" fontId="6" fillId="0" borderId="0" xfId="1" applyNumberFormat="1" applyFont="1" applyFill="1" applyBorder="1"/>
    <xf numFmtId="0" fontId="6" fillId="5" borderId="0" xfId="0" applyFont="1" applyFill="1"/>
    <xf numFmtId="165" fontId="9" fillId="5" borderId="25" xfId="1" applyNumberFormat="1" applyFont="1" applyFill="1" applyBorder="1" applyAlignment="1">
      <alignment horizontal="center" vertical="top"/>
    </xf>
    <xf numFmtId="165" fontId="6" fillId="5" borderId="25" xfId="1" applyNumberFormat="1" applyFont="1" applyFill="1" applyBorder="1"/>
    <xf numFmtId="0" fontId="9" fillId="5" borderId="25" xfId="0" applyFont="1" applyFill="1" applyBorder="1" applyAlignment="1">
      <alignment horizontal="center" vertical="top"/>
    </xf>
    <xf numFmtId="0" fontId="10" fillId="0" borderId="0" xfId="0" applyFont="1" applyAlignment="1">
      <alignment horizontal="left" vertical="top"/>
    </xf>
    <xf numFmtId="165" fontId="10" fillId="0" borderId="0" xfId="1" applyNumberFormat="1" applyFont="1" applyFill="1" applyBorder="1" applyAlignment="1">
      <alignment horizontal="right" vertical="top"/>
    </xf>
    <xf numFmtId="44" fontId="6" fillId="0" borderId="0" xfId="2" applyFont="1" applyFill="1" applyBorder="1"/>
    <xf numFmtId="165" fontId="6" fillId="0" borderId="26" xfId="1" applyNumberFormat="1" applyFont="1" applyFill="1" applyBorder="1"/>
    <xf numFmtId="44" fontId="6" fillId="0" borderId="26" xfId="2" applyFont="1" applyFill="1" applyBorder="1"/>
    <xf numFmtId="165" fontId="9" fillId="0" borderId="25" xfId="1" applyNumberFormat="1" applyFont="1" applyFill="1" applyBorder="1" applyAlignment="1">
      <alignment horizontal="center" vertical="top"/>
    </xf>
    <xf numFmtId="165" fontId="6" fillId="0" borderId="25" xfId="1" applyNumberFormat="1" applyFont="1" applyFill="1" applyBorder="1"/>
    <xf numFmtId="165" fontId="6" fillId="0" borderId="0" xfId="0" applyNumberFormat="1" applyFont="1"/>
    <xf numFmtId="43" fontId="6" fillId="0" borderId="0" xfId="0" applyNumberFormat="1" applyFont="1"/>
    <xf numFmtId="167" fontId="5" fillId="0" borderId="0" xfId="0" quotePrefix="1" applyNumberFormat="1" applyFont="1" applyAlignment="1">
      <alignment horizontal="left"/>
    </xf>
    <xf numFmtId="0" fontId="3" fillId="0" borderId="0" xfId="0" applyFont="1" applyAlignment="1">
      <alignment horizontal="left" vertical="top"/>
    </xf>
    <xf numFmtId="4" fontId="3" fillId="0" borderId="0" xfId="0" applyNumberFormat="1" applyFont="1" applyAlignment="1">
      <alignment horizontal="right" vertical="top"/>
    </xf>
    <xf numFmtId="164" fontId="3" fillId="0" borderId="3" xfId="0" quotePrefix="1" applyNumberFormat="1" applyFont="1" applyBorder="1" applyAlignment="1">
      <alignment horizontal="left" vertical="top"/>
    </xf>
    <xf numFmtId="4" fontId="0" fillId="0" borderId="0" xfId="0" applyNumberFormat="1"/>
    <xf numFmtId="44" fontId="0" fillId="0" borderId="0" xfId="0" applyNumberFormat="1"/>
    <xf numFmtId="43" fontId="0" fillId="0" borderId="0" xfId="1" applyFont="1"/>
    <xf numFmtId="14" fontId="9" fillId="0" borderId="25" xfId="1" quotePrefix="1" applyNumberFormat="1" applyFont="1" applyFill="1" applyBorder="1" applyAlignment="1">
      <alignment horizontal="center" vertical="top"/>
    </xf>
    <xf numFmtId="14" fontId="0" fillId="0" borderId="0" xfId="0" quotePrefix="1" applyNumberFormat="1"/>
    <xf numFmtId="14" fontId="9" fillId="0" borderId="0" xfId="1" quotePrefix="1" applyNumberFormat="1" applyFont="1" applyFill="1" applyBorder="1" applyAlignment="1">
      <alignment horizontal="center" vertical="top"/>
    </xf>
    <xf numFmtId="165" fontId="9" fillId="0" borderId="0" xfId="1" quotePrefix="1" applyNumberFormat="1" applyFont="1" applyFill="1" applyBorder="1" applyAlignment="1">
      <alignment horizontal="center" vertical="top"/>
    </xf>
    <xf numFmtId="165" fontId="0" fillId="0" borderId="0" xfId="1" quotePrefix="1" applyNumberFormat="1" applyFont="1"/>
    <xf numFmtId="165" fontId="9" fillId="0" borderId="0" xfId="1" applyNumberFormat="1" applyFont="1" applyFill="1" applyBorder="1" applyAlignment="1">
      <alignment horizontal="center" vertical="top"/>
    </xf>
    <xf numFmtId="44" fontId="9" fillId="0" borderId="0" xfId="2" quotePrefix="1" applyFont="1" applyFill="1" applyBorder="1" applyAlignment="1">
      <alignment horizontal="center" vertical="top"/>
    </xf>
    <xf numFmtId="44" fontId="9" fillId="0" borderId="0" xfId="2" applyFont="1" applyFill="1" applyBorder="1" applyAlignment="1">
      <alignment horizontal="center" vertical="top"/>
    </xf>
    <xf numFmtId="44" fontId="0" fillId="0" borderId="0" xfId="2" applyFont="1"/>
    <xf numFmtId="16" fontId="0" fillId="0" borderId="0" xfId="0" applyNumberFormat="1"/>
    <xf numFmtId="0" fontId="6" fillId="0" borderId="0" xfId="0" applyFont="1" applyAlignment="1">
      <alignment horizontal="center"/>
    </xf>
    <xf numFmtId="0" fontId="7" fillId="5" borderId="0" xfId="0" applyFont="1" applyFill="1" applyAlignment="1">
      <alignment horizontal="center"/>
    </xf>
    <xf numFmtId="165" fontId="8" fillId="5" borderId="25" xfId="1" applyNumberFormat="1" applyFont="1" applyFill="1" applyBorder="1" applyAlignment="1">
      <alignment horizontal="center"/>
    </xf>
    <xf numFmtId="4" fontId="3" fillId="0" borderId="27" xfId="0" applyNumberFormat="1" applyFont="1" applyBorder="1" applyAlignment="1">
      <alignment horizontal="right" vertical="top"/>
    </xf>
    <xf numFmtId="4" fontId="3" fillId="6" borderId="3" xfId="0" applyNumberFormat="1" applyFont="1" applyFill="1" applyBorder="1" applyAlignment="1">
      <alignment horizontal="right" vertical="top"/>
    </xf>
  </cellXfs>
  <cellStyles count="3">
    <cellStyle name="Comma" xfId="1" builtinId="3"/>
    <cellStyle name="Currency" xfId="2" builtinId="4"/>
    <cellStyle name="Normal" xfId="0" builtinId="0"/>
  </cellStyles>
  <dxfs count="0"/>
  <tableStyles count="1" defaultTableStyle="TableStyleMedium9" defaultPivotStyle="PivotStyleLight16">
    <tableStyle name="Invisible" pivot="0" table="0" count="0" xr9:uid="{44872469-7EE3-4FA9-8500-AC2BA0803D1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UCCo/UEC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 Data'!$A$10</c:f>
              <c:strCache>
                <c:ptCount val="1"/>
                <c:pt idx="0">
                  <c:v> Fleet Costs 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'Graph Data'!$B$9:$W$9</c:f>
              <c:strCache>
                <c:ptCount val="2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  <c:pt idx="13">
                  <c:v>Feb-25</c:v>
                </c:pt>
                <c:pt idx="14">
                  <c:v>Mar-25</c:v>
                </c:pt>
                <c:pt idx="15">
                  <c:v>Apr-25</c:v>
                </c:pt>
                <c:pt idx="16">
                  <c:v>May-25</c:v>
                </c:pt>
                <c:pt idx="17">
                  <c:v>Jun-25</c:v>
                </c:pt>
                <c:pt idx="18">
                  <c:v>Jul-25</c:v>
                </c:pt>
                <c:pt idx="19">
                  <c:v>Aug-25</c:v>
                </c:pt>
                <c:pt idx="20">
                  <c:v>Sept-25</c:v>
                </c:pt>
                <c:pt idx="21">
                  <c:v>25-Oct</c:v>
                </c:pt>
              </c:strCache>
            </c:strRef>
          </c:cat>
          <c:val>
            <c:numRef>
              <c:f>'Graph Data'!$B$10:$W$10</c:f>
              <c:numCache>
                <c:formatCode>_(* #,##0_);_(* \(#,##0\);_(* "-"??_);_(@_)</c:formatCode>
                <c:ptCount val="22"/>
                <c:pt idx="0">
                  <c:v>2257.1125699999993</c:v>
                </c:pt>
                <c:pt idx="1">
                  <c:v>2198.8809000000001</c:v>
                </c:pt>
                <c:pt idx="2">
                  <c:v>2074.0675900000006</c:v>
                </c:pt>
                <c:pt idx="3">
                  <c:v>2191.6956500000001</c:v>
                </c:pt>
                <c:pt idx="4">
                  <c:v>2193.1300500000002</c:v>
                </c:pt>
                <c:pt idx="5">
                  <c:v>2025.5821599999999</c:v>
                </c:pt>
                <c:pt idx="6">
                  <c:v>2061.5743199999997</c:v>
                </c:pt>
                <c:pt idx="7">
                  <c:v>1987.5133000000003</c:v>
                </c:pt>
                <c:pt idx="8">
                  <c:v>2166.1071599999996</c:v>
                </c:pt>
                <c:pt idx="9">
                  <c:v>2352.7451499999997</c:v>
                </c:pt>
                <c:pt idx="10">
                  <c:v>1904.4863799999996</c:v>
                </c:pt>
                <c:pt idx="11">
                  <c:v>1868.0131899999992</c:v>
                </c:pt>
                <c:pt idx="12">
                  <c:v>1906.9375199999997</c:v>
                </c:pt>
                <c:pt idx="13">
                  <c:v>1767.0727900000002</c:v>
                </c:pt>
                <c:pt idx="14">
                  <c:v>1608.7121299999999</c:v>
                </c:pt>
                <c:pt idx="15">
                  <c:v>1828.8514799999998</c:v>
                </c:pt>
                <c:pt idx="16">
                  <c:v>2014.0510399999998</c:v>
                </c:pt>
                <c:pt idx="17">
                  <c:v>1835.2004999999999</c:v>
                </c:pt>
                <c:pt idx="18">
                  <c:v>2264.9595700000004</c:v>
                </c:pt>
                <c:pt idx="19">
                  <c:v>1959.0694899999996</c:v>
                </c:pt>
                <c:pt idx="20">
                  <c:v>2330.4025100000003</c:v>
                </c:pt>
                <c:pt idx="21">
                  <c:v>2340.4114900000004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41-4AA5-8027-A44CAD2F2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8601975"/>
        <c:axId val="558607375"/>
      </c:barChart>
      <c:lineChart>
        <c:grouping val="standard"/>
        <c:varyColors val="0"/>
        <c:ser>
          <c:idx val="1"/>
          <c:order val="1"/>
          <c:tx>
            <c:strRef>
              <c:f>'Graph Data'!$A$11</c:f>
              <c:strCache>
                <c:ptCount val="1"/>
                <c:pt idx="0">
                  <c:v>$/DMH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'Graph Data'!$B$9:$W$9</c:f>
              <c:strCache>
                <c:ptCount val="2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  <c:pt idx="13">
                  <c:v>Feb-25</c:v>
                </c:pt>
                <c:pt idx="14">
                  <c:v>Mar-25</c:v>
                </c:pt>
                <c:pt idx="15">
                  <c:v>Apr-25</c:v>
                </c:pt>
                <c:pt idx="16">
                  <c:v>May-25</c:v>
                </c:pt>
                <c:pt idx="17">
                  <c:v>Jun-25</c:v>
                </c:pt>
                <c:pt idx="18">
                  <c:v>Jul-25</c:v>
                </c:pt>
                <c:pt idx="19">
                  <c:v>Aug-25</c:v>
                </c:pt>
                <c:pt idx="20">
                  <c:v>Sept-25</c:v>
                </c:pt>
                <c:pt idx="21">
                  <c:v>25-Oct</c:v>
                </c:pt>
              </c:strCache>
            </c:strRef>
          </c:cat>
          <c:val>
            <c:numRef>
              <c:f>'Graph Data'!$B$11:$W$11</c:f>
              <c:numCache>
                <c:formatCode>_("$"* #,##0.00_);_("$"* \(#,##0.00\);_("$"* "-"??_);_(@_)</c:formatCode>
                <c:ptCount val="22"/>
                <c:pt idx="0">
                  <c:v>42.622631583022262</c:v>
                </c:pt>
                <c:pt idx="1">
                  <c:v>26.529042369139226</c:v>
                </c:pt>
                <c:pt idx="2">
                  <c:v>27.034446419316929</c:v>
                </c:pt>
                <c:pt idx="3">
                  <c:v>32.6227713856184</c:v>
                </c:pt>
                <c:pt idx="4">
                  <c:v>23.05362714645922</c:v>
                </c:pt>
                <c:pt idx="5">
                  <c:v>23.268311751715199</c:v>
                </c:pt>
                <c:pt idx="6">
                  <c:v>26.076033276954277</c:v>
                </c:pt>
                <c:pt idx="7">
                  <c:v>16.114314628935013</c:v>
                </c:pt>
                <c:pt idx="8">
                  <c:v>21.004317017232001</c:v>
                </c:pt>
                <c:pt idx="9">
                  <c:v>17.635798552328641</c:v>
                </c:pt>
                <c:pt idx="10">
                  <c:v>22.05807134287997</c:v>
                </c:pt>
                <c:pt idx="11">
                  <c:v>24.676961827730903</c:v>
                </c:pt>
                <c:pt idx="12">
                  <c:v>24.550683566467324</c:v>
                </c:pt>
                <c:pt idx="13">
                  <c:v>30.490428608403075</c:v>
                </c:pt>
                <c:pt idx="14">
                  <c:v>27.405312607643445</c:v>
                </c:pt>
                <c:pt idx="15">
                  <c:v>22.426973120763783</c:v>
                </c:pt>
                <c:pt idx="16">
                  <c:v>26.615324091504178</c:v>
                </c:pt>
                <c:pt idx="17">
                  <c:v>27.133855685540691</c:v>
                </c:pt>
                <c:pt idx="18">
                  <c:v>19.015997903081491</c:v>
                </c:pt>
                <c:pt idx="19">
                  <c:v>20.382610265333881</c:v>
                </c:pt>
                <c:pt idx="20">
                  <c:v>21.672063457861245</c:v>
                </c:pt>
                <c:pt idx="21">
                  <c:v>20.627363406413782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41-4AA5-8027-A44CAD2F2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0083583"/>
        <c:axId val="550082143"/>
      </c:lineChart>
      <c:catAx>
        <c:axId val="558601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607375"/>
        <c:crosses val="autoZero"/>
        <c:auto val="1"/>
        <c:lblAlgn val="ctr"/>
        <c:lblOffset val="100"/>
        <c:noMultiLvlLbl val="0"/>
      </c:catAx>
      <c:valAx>
        <c:axId val="55860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Fleet costs (,000's)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601975"/>
        <c:crosses val="autoZero"/>
        <c:crossBetween val="between"/>
      </c:valAx>
      <c:valAx>
        <c:axId val="550082143"/>
        <c:scaling>
          <c:orientation val="minMax"/>
        </c:scaling>
        <c:delete val="0"/>
        <c:axPos val="r"/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083583"/>
        <c:crosses val="max"/>
        <c:crossBetween val="between"/>
      </c:valAx>
      <c:catAx>
        <c:axId val="5500835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008214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 Data'!$A$15</c:f>
              <c:strCache>
                <c:ptCount val="1"/>
                <c:pt idx="0">
                  <c:v> Fleet Costs 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'Graph Data'!$B$14:$W$14</c:f>
              <c:strCache>
                <c:ptCount val="2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  <c:pt idx="13">
                  <c:v>Feb-25</c:v>
                </c:pt>
                <c:pt idx="14">
                  <c:v>Mar-25</c:v>
                </c:pt>
                <c:pt idx="15">
                  <c:v>Apr-25</c:v>
                </c:pt>
                <c:pt idx="16">
                  <c:v>May-25</c:v>
                </c:pt>
                <c:pt idx="17">
                  <c:v>Jun-25</c:v>
                </c:pt>
                <c:pt idx="18">
                  <c:v>Jul-25</c:v>
                </c:pt>
                <c:pt idx="19">
                  <c:v>Aug-25</c:v>
                </c:pt>
                <c:pt idx="20">
                  <c:v>Sept-25</c:v>
                </c:pt>
                <c:pt idx="21">
                  <c:v>25-Oct</c:v>
                </c:pt>
              </c:strCache>
            </c:strRef>
          </c:cat>
          <c:val>
            <c:numRef>
              <c:f>'Graph Data'!$B$15:$W$15</c:f>
              <c:numCache>
                <c:formatCode>_(* #,##0_);_(* \(#,##0\);_(* "-"??_);_(@_)</c:formatCode>
                <c:ptCount val="22"/>
                <c:pt idx="0">
                  <c:v>101.69859999999998</c:v>
                </c:pt>
                <c:pt idx="1">
                  <c:v>153.64859000000001</c:v>
                </c:pt>
                <c:pt idx="2">
                  <c:v>217.42003000000003</c:v>
                </c:pt>
                <c:pt idx="3">
                  <c:v>195.91162</c:v>
                </c:pt>
                <c:pt idx="4">
                  <c:v>154.84662</c:v>
                </c:pt>
                <c:pt idx="5">
                  <c:v>116.96908000000002</c:v>
                </c:pt>
                <c:pt idx="6">
                  <c:v>150.35441999999998</c:v>
                </c:pt>
                <c:pt idx="7">
                  <c:v>100.10325999999999</c:v>
                </c:pt>
                <c:pt idx="8">
                  <c:v>239.58982</c:v>
                </c:pt>
                <c:pt idx="9">
                  <c:v>163.84440000000004</c:v>
                </c:pt>
                <c:pt idx="10">
                  <c:v>168.67700999999997</c:v>
                </c:pt>
                <c:pt idx="11">
                  <c:v>156.65853000000004</c:v>
                </c:pt>
                <c:pt idx="12">
                  <c:v>156.51371</c:v>
                </c:pt>
                <c:pt idx="13">
                  <c:v>230.62589000000003</c:v>
                </c:pt>
                <c:pt idx="14">
                  <c:v>161.76136000000002</c:v>
                </c:pt>
                <c:pt idx="15">
                  <c:v>133.25019</c:v>
                </c:pt>
                <c:pt idx="16">
                  <c:v>164.15936000000002</c:v>
                </c:pt>
                <c:pt idx="17">
                  <c:v>159.02917000000002</c:v>
                </c:pt>
                <c:pt idx="18">
                  <c:v>174.75241999999997</c:v>
                </c:pt>
                <c:pt idx="19">
                  <c:v>157.03916999999998</c:v>
                </c:pt>
                <c:pt idx="20">
                  <c:v>208.29557</c:v>
                </c:pt>
                <c:pt idx="21">
                  <c:v>115.81341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B3-4A15-9F51-9F2D8583A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8601975"/>
        <c:axId val="558607375"/>
      </c:barChart>
      <c:lineChart>
        <c:grouping val="standard"/>
        <c:varyColors val="0"/>
        <c:ser>
          <c:idx val="1"/>
          <c:order val="1"/>
          <c:tx>
            <c:strRef>
              <c:f>'Graph Data'!$A$16</c:f>
              <c:strCache>
                <c:ptCount val="1"/>
                <c:pt idx="0">
                  <c:v>$/DMH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'Graph Data'!$B$14:$W$14</c:f>
              <c:strCache>
                <c:ptCount val="2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  <c:pt idx="13">
                  <c:v>Feb-25</c:v>
                </c:pt>
                <c:pt idx="14">
                  <c:v>Mar-25</c:v>
                </c:pt>
                <c:pt idx="15">
                  <c:v>Apr-25</c:v>
                </c:pt>
                <c:pt idx="16">
                  <c:v>May-25</c:v>
                </c:pt>
                <c:pt idx="17">
                  <c:v>Jun-25</c:v>
                </c:pt>
                <c:pt idx="18">
                  <c:v>Jul-25</c:v>
                </c:pt>
                <c:pt idx="19">
                  <c:v>Aug-25</c:v>
                </c:pt>
                <c:pt idx="20">
                  <c:v>Sept-25</c:v>
                </c:pt>
                <c:pt idx="21">
                  <c:v>25-Oct</c:v>
                </c:pt>
              </c:strCache>
            </c:strRef>
          </c:cat>
          <c:val>
            <c:numRef>
              <c:f>'Graph Data'!$B$16:$W$16</c:f>
              <c:numCache>
                <c:formatCode>_("$"* #,##0.00_);_("$"* \(#,##0.00\);_("$"* "-"??_);_(@_)</c:formatCode>
                <c:ptCount val="22"/>
                <c:pt idx="0">
                  <c:v>11.628012805854102</c:v>
                </c:pt>
                <c:pt idx="1">
                  <c:v>14.180110747081354</c:v>
                </c:pt>
                <c:pt idx="2">
                  <c:v>26.777514625284809</c:v>
                </c:pt>
                <c:pt idx="3">
                  <c:v>26.444168185192684</c:v>
                </c:pt>
                <c:pt idx="4">
                  <c:v>16.009782878411912</c:v>
                </c:pt>
                <c:pt idx="5">
                  <c:v>14.690916855061545</c:v>
                </c:pt>
                <c:pt idx="6">
                  <c:v>16.841716045925509</c:v>
                </c:pt>
                <c:pt idx="7">
                  <c:v>7.7171691785838172</c:v>
                </c:pt>
                <c:pt idx="8">
                  <c:v>23.952993751562111</c:v>
                </c:pt>
                <c:pt idx="9">
                  <c:v>13.832660039257902</c:v>
                </c:pt>
                <c:pt idx="10">
                  <c:v>14.976206161768619</c:v>
                </c:pt>
                <c:pt idx="11">
                  <c:v>16.014979554283382</c:v>
                </c:pt>
                <c:pt idx="12">
                  <c:v>11.750719621607418</c:v>
                </c:pt>
                <c:pt idx="13">
                  <c:v>24.036675265118948</c:v>
                </c:pt>
                <c:pt idx="14">
                  <c:v>16.82297956424523</c:v>
                </c:pt>
                <c:pt idx="15">
                  <c:v>10.264621962022879</c:v>
                </c:pt>
                <c:pt idx="16">
                  <c:v>20.416561159131899</c:v>
                </c:pt>
                <c:pt idx="17">
                  <c:v>16.698289946743291</c:v>
                </c:pt>
                <c:pt idx="18">
                  <c:v>15.430432010793636</c:v>
                </c:pt>
                <c:pt idx="19">
                  <c:v>18.718537457536204</c:v>
                </c:pt>
                <c:pt idx="20">
                  <c:v>18.576290156586392</c:v>
                </c:pt>
                <c:pt idx="21">
                  <c:v>12.590768056636678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B3-4A15-9F51-9F2D8583A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0083583"/>
        <c:axId val="550082143"/>
      </c:lineChart>
      <c:catAx>
        <c:axId val="558601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607375"/>
        <c:crosses val="autoZero"/>
        <c:auto val="1"/>
        <c:lblAlgn val="ctr"/>
        <c:lblOffset val="100"/>
        <c:noMultiLvlLbl val="0"/>
      </c:catAx>
      <c:valAx>
        <c:axId val="55860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Fleet costs (,000's)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601975"/>
        <c:crosses val="autoZero"/>
        <c:crossBetween val="between"/>
      </c:valAx>
      <c:valAx>
        <c:axId val="550082143"/>
        <c:scaling>
          <c:orientation val="minMax"/>
        </c:scaling>
        <c:delete val="0"/>
        <c:axPos val="r"/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083583"/>
        <c:crosses val="max"/>
        <c:crossBetween val="between"/>
      </c:valAx>
      <c:catAx>
        <c:axId val="5500835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008214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UCCo/UEC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 Data'!$A$27</c:f>
              <c:strCache>
                <c:ptCount val="1"/>
                <c:pt idx="0">
                  <c:v> Fleet Costs 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'Graph Data'!$B$26:$I$26</c:f>
              <c:strCache>
                <c:ptCount val="8"/>
                <c:pt idx="0">
                  <c:v>Q1-24</c:v>
                </c:pt>
                <c:pt idx="1">
                  <c:v>Q2-24</c:v>
                </c:pt>
                <c:pt idx="2">
                  <c:v>Q3-24</c:v>
                </c:pt>
                <c:pt idx="3">
                  <c:v>Q4-24</c:v>
                </c:pt>
                <c:pt idx="4">
                  <c:v>Q1-25</c:v>
                </c:pt>
                <c:pt idx="5">
                  <c:v>Q2-25</c:v>
                </c:pt>
                <c:pt idx="6">
                  <c:v>Q3-25</c:v>
                </c:pt>
                <c:pt idx="7">
                  <c:v>25-Oct</c:v>
                </c:pt>
              </c:strCache>
            </c:strRef>
          </c:cat>
          <c:val>
            <c:numRef>
              <c:f>'Graph Data'!$B$27:$I$27</c:f>
              <c:numCache>
                <c:formatCode>_(* #,##0_);_(* \(#,##0\);_(* "-"??_);_(@_)</c:formatCode>
                <c:ptCount val="8"/>
                <c:pt idx="0">
                  <c:v>6530.06106</c:v>
                </c:pt>
                <c:pt idx="1">
                  <c:v>6410.4078600000003</c:v>
                </c:pt>
                <c:pt idx="2">
                  <c:v>6215.1947799999998</c:v>
                </c:pt>
                <c:pt idx="3">
                  <c:v>6125.2447199999988</c:v>
                </c:pt>
                <c:pt idx="4">
                  <c:v>5282.7224399999996</c:v>
                </c:pt>
                <c:pt idx="5">
                  <c:v>5678.1030199999996</c:v>
                </c:pt>
                <c:pt idx="6">
                  <c:v>6554.4315700000006</c:v>
                </c:pt>
                <c:pt idx="7">
                  <c:v>2340.4114900000004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4B-4FC1-B8A0-5F705F5EA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8601975"/>
        <c:axId val="558607375"/>
      </c:barChart>
      <c:lineChart>
        <c:grouping val="standard"/>
        <c:varyColors val="0"/>
        <c:ser>
          <c:idx val="1"/>
          <c:order val="1"/>
          <c:tx>
            <c:strRef>
              <c:f>'Graph Data'!$A$28</c:f>
              <c:strCache>
                <c:ptCount val="1"/>
                <c:pt idx="0">
                  <c:v>$/DMH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'Graph Data'!$B$26:$I$26</c:f>
              <c:strCache>
                <c:ptCount val="8"/>
                <c:pt idx="0">
                  <c:v>Q1-24</c:v>
                </c:pt>
                <c:pt idx="1">
                  <c:v>Q2-24</c:v>
                </c:pt>
                <c:pt idx="2">
                  <c:v>Q3-24</c:v>
                </c:pt>
                <c:pt idx="3">
                  <c:v>Q4-24</c:v>
                </c:pt>
                <c:pt idx="4">
                  <c:v>Q1-25</c:v>
                </c:pt>
                <c:pt idx="5">
                  <c:v>Q2-25</c:v>
                </c:pt>
                <c:pt idx="6">
                  <c:v>Q3-25</c:v>
                </c:pt>
                <c:pt idx="7">
                  <c:v>25-Oct</c:v>
                </c:pt>
              </c:strCache>
            </c:strRef>
          </c:cat>
          <c:val>
            <c:numRef>
              <c:f>'Graph Data'!$B$28:$I$28</c:f>
              <c:numCache>
                <c:formatCode>_("$"* #,##0.00_);_("$"* \(#,##0.00\);_("$"* "-"??_);_(@_)</c:formatCode>
                <c:ptCount val="8"/>
                <c:pt idx="0">
                  <c:v>30.720884741916635</c:v>
                </c:pt>
                <c:pt idx="1">
                  <c:v>25.706626016690528</c:v>
                </c:pt>
                <c:pt idx="2">
                  <c:v>20.342655083335991</c:v>
                </c:pt>
                <c:pt idx="3">
                  <c:v>20.732219608017282</c:v>
                </c:pt>
                <c:pt idx="4">
                  <c:v>27.18439304347611</c:v>
                </c:pt>
                <c:pt idx="5">
                  <c:v>25.252326425092829</c:v>
                </c:pt>
                <c:pt idx="6">
                  <c:v>20.307880126888943</c:v>
                </c:pt>
                <c:pt idx="7">
                  <c:v>20.627363406413782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4B-4FC1-B8A0-5F705F5EA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0083583"/>
        <c:axId val="550082143"/>
      </c:lineChart>
      <c:catAx>
        <c:axId val="558601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607375"/>
        <c:crosses val="autoZero"/>
        <c:auto val="1"/>
        <c:lblAlgn val="ctr"/>
        <c:lblOffset val="100"/>
        <c:noMultiLvlLbl val="0"/>
      </c:catAx>
      <c:valAx>
        <c:axId val="55860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Fleet costs (,000's)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601975"/>
        <c:crosses val="autoZero"/>
        <c:crossBetween val="between"/>
      </c:valAx>
      <c:valAx>
        <c:axId val="550082143"/>
        <c:scaling>
          <c:orientation val="minMax"/>
        </c:scaling>
        <c:delete val="0"/>
        <c:axPos val="r"/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083583"/>
        <c:crosses val="max"/>
        <c:crossBetween val="between"/>
      </c:valAx>
      <c:catAx>
        <c:axId val="5500835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008214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 Data'!$A$33</c:f>
              <c:strCache>
                <c:ptCount val="1"/>
                <c:pt idx="0">
                  <c:v> Fleet Costs 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'Graph Data'!$B$32:$I$32</c:f>
              <c:strCache>
                <c:ptCount val="8"/>
                <c:pt idx="0">
                  <c:v>Q1-24</c:v>
                </c:pt>
                <c:pt idx="1">
                  <c:v>Q2-24</c:v>
                </c:pt>
                <c:pt idx="2">
                  <c:v>Q3-24</c:v>
                </c:pt>
                <c:pt idx="3">
                  <c:v>Q4-24</c:v>
                </c:pt>
                <c:pt idx="4">
                  <c:v>Q1-25</c:v>
                </c:pt>
                <c:pt idx="5">
                  <c:v>Q2-25</c:v>
                </c:pt>
                <c:pt idx="6">
                  <c:v>Q3-25</c:v>
                </c:pt>
                <c:pt idx="7">
                  <c:v>25-Oct</c:v>
                </c:pt>
              </c:strCache>
            </c:strRef>
          </c:cat>
          <c:val>
            <c:numRef>
              <c:f>'Graph Data'!$B$33:$I$33</c:f>
              <c:numCache>
                <c:formatCode>_(* #,##0_);_(* \(#,##0\);_(* "-"??_);_(@_)</c:formatCode>
                <c:ptCount val="8"/>
                <c:pt idx="0">
                  <c:v>472.76722000000007</c:v>
                </c:pt>
                <c:pt idx="1">
                  <c:v>467.72732000000002</c:v>
                </c:pt>
                <c:pt idx="2">
                  <c:v>490.04750000000001</c:v>
                </c:pt>
                <c:pt idx="3">
                  <c:v>489.17994000000004</c:v>
                </c:pt>
                <c:pt idx="4">
                  <c:v>548.90096000000005</c:v>
                </c:pt>
                <c:pt idx="5">
                  <c:v>456.43872000000005</c:v>
                </c:pt>
                <c:pt idx="6">
                  <c:v>540.08715999999993</c:v>
                </c:pt>
                <c:pt idx="7">
                  <c:v>115.81341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80-42C9-8CF5-F91D1C529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8601975"/>
        <c:axId val="558607375"/>
      </c:barChart>
      <c:lineChart>
        <c:grouping val="standard"/>
        <c:varyColors val="0"/>
        <c:ser>
          <c:idx val="1"/>
          <c:order val="1"/>
          <c:tx>
            <c:strRef>
              <c:f>'Graph Data'!$A$34</c:f>
              <c:strCache>
                <c:ptCount val="1"/>
                <c:pt idx="0">
                  <c:v>$/DMH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'Graph Data'!$B$32:$I$32</c:f>
              <c:strCache>
                <c:ptCount val="8"/>
                <c:pt idx="0">
                  <c:v>Q1-24</c:v>
                </c:pt>
                <c:pt idx="1">
                  <c:v>Q2-24</c:v>
                </c:pt>
                <c:pt idx="2">
                  <c:v>Q3-24</c:v>
                </c:pt>
                <c:pt idx="3">
                  <c:v>Q4-24</c:v>
                </c:pt>
                <c:pt idx="4">
                  <c:v>Q1-25</c:v>
                </c:pt>
                <c:pt idx="5">
                  <c:v>Q2-25</c:v>
                </c:pt>
                <c:pt idx="6">
                  <c:v>Q3-25</c:v>
                </c:pt>
                <c:pt idx="7">
                  <c:v>25-Oct</c:v>
                </c:pt>
              </c:strCache>
            </c:strRef>
          </c:cat>
          <c:val>
            <c:numRef>
              <c:f>'Graph Data'!$B$34:$I$34</c:f>
              <c:numCache>
                <c:formatCode>_("$"* #,##0.00_);_("$"* \(#,##0.00\);_("$"* "-"??_);_(@_)</c:formatCode>
                <c:ptCount val="8"/>
                <c:pt idx="0">
                  <c:v>17.06679253456554</c:v>
                </c:pt>
                <c:pt idx="1">
                  <c:v>18.677341319756415</c:v>
                </c:pt>
                <c:pt idx="2">
                  <c:v>15.361268278921054</c:v>
                </c:pt>
                <c:pt idx="3">
                  <c:v>14.873324972065767</c:v>
                </c:pt>
                <c:pt idx="4">
                  <c:v>16.873814277699648</c:v>
                </c:pt>
                <c:pt idx="5">
                  <c:v>14.942823993441959</c:v>
                </c:pt>
                <c:pt idx="6">
                  <c:v>17.462917013443626</c:v>
                </c:pt>
                <c:pt idx="7">
                  <c:v>12.590768056636678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80-42C9-8CF5-F91D1C529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0083583"/>
        <c:axId val="550082143"/>
      </c:lineChart>
      <c:catAx>
        <c:axId val="558601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607375"/>
        <c:crosses val="autoZero"/>
        <c:auto val="1"/>
        <c:lblAlgn val="ctr"/>
        <c:lblOffset val="100"/>
        <c:noMultiLvlLbl val="0"/>
      </c:catAx>
      <c:valAx>
        <c:axId val="55860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Fleet costs (,000's)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601975"/>
        <c:crosses val="autoZero"/>
        <c:crossBetween val="between"/>
      </c:valAx>
      <c:valAx>
        <c:axId val="550082143"/>
        <c:scaling>
          <c:orientation val="minMax"/>
        </c:scaling>
        <c:delete val="0"/>
        <c:axPos val="r"/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083583"/>
        <c:crosses val="max"/>
        <c:crossBetween val="between"/>
      </c:valAx>
      <c:catAx>
        <c:axId val="5500835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008214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1</xdr:row>
      <xdr:rowOff>9525</xdr:rowOff>
    </xdr:from>
    <xdr:to>
      <xdr:col>17</xdr:col>
      <xdr:colOff>247650</xdr:colOff>
      <xdr:row>33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EF962B-015A-46E9-B2D7-CDA1DB6C10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514350</xdr:colOff>
      <xdr:row>33</xdr:row>
      <xdr:rowOff>152402</xdr:rowOff>
    </xdr:from>
    <xdr:to>
      <xdr:col>17</xdr:col>
      <xdr:colOff>247651</xdr:colOff>
      <xdr:row>64</xdr:row>
      <xdr:rowOff>47627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53DEB4-5801-458B-9793-330ED2993C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575204</xdr:colOff>
      <xdr:row>1</xdr:row>
      <xdr:rowOff>69849</xdr:rowOff>
    </xdr:from>
    <xdr:to>
      <xdr:col>31</xdr:col>
      <xdr:colOff>338667</xdr:colOff>
      <xdr:row>33</xdr:row>
      <xdr:rowOff>42333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3A0569-5ACC-4E13-811A-CB80F9A06E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238125</xdr:colOff>
      <xdr:row>33</xdr:row>
      <xdr:rowOff>132292</xdr:rowOff>
    </xdr:from>
    <xdr:to>
      <xdr:col>31</xdr:col>
      <xdr:colOff>63500</xdr:colOff>
      <xdr:row>62</xdr:row>
      <xdr:rowOff>21168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85DDC2C-8E57-4730-82EB-516E55334D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J:\Job%20Files\Business%20Review\September\Sept%20Equipment%20Results%20-%20charts.xlsx" TargetMode="External"/><Relationship Id="rId1" Type="http://schemas.openxmlformats.org/officeDocument/2006/relationships/externalLinkPath" Target="/Job%20Files/Business%20Review/September/Sept%20Equipment%20Results%20-%20char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end"/>
      <sheetName val="Equipment Analysis"/>
      <sheetName val="UCCo"/>
      <sheetName val="UCCo_IMC"/>
      <sheetName val="Graph Data"/>
    </sheetNames>
    <sheetDataSet>
      <sheetData sheetId="0"/>
      <sheetData sheetId="1">
        <row r="22">
          <cell r="I22">
            <v>2264959.5700000003</v>
          </cell>
          <cell r="J22">
            <v>1959069.4899999995</v>
          </cell>
          <cell r="K22">
            <v>2330402.5100000002</v>
          </cell>
        </row>
        <row r="39">
          <cell r="I39">
            <v>174752.41999999998</v>
          </cell>
          <cell r="J39">
            <v>157039.16999999998</v>
          </cell>
          <cell r="K39">
            <v>208295.57</v>
          </cell>
        </row>
        <row r="50">
          <cell r="I50">
            <v>47870.810000000027</v>
          </cell>
          <cell r="J50">
            <v>44494.25</v>
          </cell>
          <cell r="K50">
            <v>56126.754999999946</v>
          </cell>
        </row>
        <row r="51">
          <cell r="I51">
            <v>11325.180000000008</v>
          </cell>
          <cell r="J51">
            <v>8389.5</v>
          </cell>
          <cell r="K51">
            <v>11212.979999999996</v>
          </cell>
        </row>
        <row r="52">
          <cell r="I52">
            <v>71237.300000000017</v>
          </cell>
          <cell r="J52">
            <v>51620.5</v>
          </cell>
          <cell r="K52">
            <v>51403.5</v>
          </cell>
        </row>
      </sheetData>
      <sheetData sheetId="2"/>
      <sheetData sheetId="3"/>
      <sheetData sheetId="4">
        <row r="9">
          <cell r="B9" t="str">
            <v>Jan-24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iam, Davy" id="{5B1D1537-D648-4DA5-A908-CB0C540E61BA}" userId="S::dliam@quantaservices.com::cd7d6fa0-f889-4249-891c-8deb6da22d1c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0" dT="2022-06-09T22:49:01.29" personId="{5B1D1537-D648-4DA5-A908-CB0C540E61BA}" id="{0557BA6E-EC0E-406A-9ACC-ECB0CC5CE59C}">
    <text>IPM Account 541100 ( All Co)</text>
  </threadedComment>
  <threadedComment ref="B41" dT="2022-06-09T22:50:11.14" personId="{5B1D1537-D648-4DA5-A908-CB0C540E61BA}" id="{CCC149FC-4989-4726-BE15-B8777B78B71A}">
    <text>IPM Acct 541400, 541500, 541600 (All Co)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C0F2E-36C8-4BD6-9273-850143CC9389}">
  <dimension ref="A1"/>
  <sheetViews>
    <sheetView tabSelected="1" topLeftCell="A25" zoomScale="90" zoomScaleNormal="90" workbookViewId="0">
      <selection activeCell="R31" sqref="R31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A9F75-3488-4ED5-8268-BFB00623CCE9}">
  <sheetPr>
    <pageSetUpPr fitToPage="1"/>
  </sheetPr>
  <dimension ref="A1:AC63"/>
  <sheetViews>
    <sheetView workbookViewId="0">
      <pane xSplit="1" ySplit="9" topLeftCell="C21" activePane="bottomRight" state="frozen"/>
      <selection pane="topRight" activeCell="B1" sqref="B1"/>
      <selection pane="bottomLeft" activeCell="A10" sqref="A10"/>
      <selection pane="bottomRight" activeCell="K14" sqref="K14"/>
    </sheetView>
  </sheetViews>
  <sheetFormatPr defaultColWidth="9.140625" defaultRowHeight="12.75" outlineLevelRow="1" x14ac:dyDescent="0.2"/>
  <cols>
    <col min="1" max="1" width="20.5703125" style="35" customWidth="1"/>
    <col min="2" max="2" width="9.140625" style="35" customWidth="1"/>
    <col min="3" max="13" width="10" style="36" bestFit="1" customWidth="1"/>
    <col min="14" max="14" width="9.7109375" style="36" customWidth="1"/>
    <col min="15" max="15" width="11" style="36" bestFit="1" customWidth="1"/>
    <col min="16" max="16" width="4.42578125" style="35" customWidth="1"/>
    <col min="17" max="27" width="9.28515625" style="35" bestFit="1" customWidth="1"/>
    <col min="28" max="28" width="9.140625" style="35" customWidth="1"/>
    <col min="29" max="29" width="9.28515625" style="35" bestFit="1" customWidth="1"/>
    <col min="30" max="16384" width="9.140625" style="35"/>
  </cols>
  <sheetData>
    <row r="1" spans="1:29" ht="21" x14ac:dyDescent="0.35">
      <c r="A1" s="34" t="s">
        <v>46</v>
      </c>
    </row>
    <row r="2" spans="1:29" ht="21" x14ac:dyDescent="0.35">
      <c r="A2" s="50">
        <v>45961</v>
      </c>
    </row>
    <row r="7" spans="1:29" ht="23.25" x14ac:dyDescent="0.35">
      <c r="A7" s="68" t="s">
        <v>47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</row>
    <row r="8" spans="1:29" ht="19.5" thickBot="1" x14ac:dyDescent="0.35">
      <c r="A8" s="37"/>
      <c r="B8" s="37"/>
      <c r="C8" s="69" t="s">
        <v>48</v>
      </c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37"/>
      <c r="Q8" s="69" t="s">
        <v>49</v>
      </c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</row>
    <row r="9" spans="1:29" ht="13.5" thickBot="1" x14ac:dyDescent="0.25">
      <c r="A9" s="37"/>
      <c r="B9" s="37"/>
      <c r="C9" s="38" t="s">
        <v>4</v>
      </c>
      <c r="D9" s="38" t="s">
        <v>5</v>
      </c>
      <c r="E9" s="38" t="s">
        <v>6</v>
      </c>
      <c r="F9" s="38" t="s">
        <v>7</v>
      </c>
      <c r="G9" s="38" t="s">
        <v>8</v>
      </c>
      <c r="H9" s="38" t="s">
        <v>9</v>
      </c>
      <c r="I9" s="38" t="s">
        <v>10</v>
      </c>
      <c r="J9" s="38" t="s">
        <v>11</v>
      </c>
      <c r="K9" s="38" t="s">
        <v>12</v>
      </c>
      <c r="L9" s="38" t="s">
        <v>13</v>
      </c>
      <c r="M9" s="38" t="s">
        <v>14</v>
      </c>
      <c r="N9" s="39" t="s">
        <v>15</v>
      </c>
      <c r="O9" s="38" t="s">
        <v>50</v>
      </c>
      <c r="P9" s="37"/>
      <c r="Q9" s="40" t="s">
        <v>4</v>
      </c>
      <c r="R9" s="40" t="s">
        <v>5</v>
      </c>
      <c r="S9" s="40" t="s">
        <v>6</v>
      </c>
      <c r="T9" s="40" t="s">
        <v>7</v>
      </c>
      <c r="U9" s="40" t="s">
        <v>8</v>
      </c>
      <c r="V9" s="40" t="s">
        <v>9</v>
      </c>
      <c r="W9" s="40" t="s">
        <v>10</v>
      </c>
      <c r="X9" s="40" t="s">
        <v>11</v>
      </c>
      <c r="Y9" s="40" t="s">
        <v>12</v>
      </c>
      <c r="Z9" s="40" t="s">
        <v>13</v>
      </c>
      <c r="AA9" s="40" t="s">
        <v>14</v>
      </c>
      <c r="AB9" s="40" t="s">
        <v>51</v>
      </c>
      <c r="AC9" s="40" t="s">
        <v>50</v>
      </c>
    </row>
    <row r="10" spans="1:29" ht="15" customHeight="1" x14ac:dyDescent="0.2">
      <c r="A10" s="41" t="s">
        <v>52</v>
      </c>
      <c r="B10" s="41" t="s">
        <v>20</v>
      </c>
      <c r="C10" s="42">
        <v>590505.76</v>
      </c>
      <c r="D10" s="42">
        <v>561250.61</v>
      </c>
      <c r="E10" s="42">
        <v>523561.62</v>
      </c>
      <c r="F10" s="42">
        <v>492297.23</v>
      </c>
      <c r="G10" s="42">
        <v>572341.77</v>
      </c>
      <c r="H10" s="42">
        <v>512847.69</v>
      </c>
      <c r="I10" s="42">
        <f>SUMIFS(UCCo_IMC!K$3:K$35,UCCo_IMC!$C$3:$C$35,'Equipment Analysis'!$B10,UCCo_IMC!$D$3:$D$35,341)</f>
        <v>740150.95</v>
      </c>
      <c r="J10" s="42">
        <f>SUMIFS(UCCo_IMC!L$3:L$35,UCCo_IMC!$C$3:$C$35,'Equipment Analysis'!$B10,UCCo_IMC!$D$3:$D$35,341)</f>
        <v>570230.96</v>
      </c>
      <c r="K10" s="42">
        <f>SUMIFS(UCCo_IMC!M$3:M$35,UCCo_IMC!$C$3:$C$35,'Equipment Analysis'!$B10,UCCo_IMC!$D$3:$D$35,341)</f>
        <v>653440.65</v>
      </c>
      <c r="L10" s="42">
        <f>SUMIFS(UCCo_IMC!N$3:N$35,UCCo_IMC!$C$3:$C$35,'Equipment Analysis'!$B10,UCCo_IMC!$D$3:$D$35,341)</f>
        <v>675553.09</v>
      </c>
      <c r="M10" s="42">
        <f>SUMIFS(UCCo_IMC!O$3:O$35,UCCo_IMC!$C$3:$C$35,'Equipment Analysis'!$B10,UCCo_IMC!$D$3:$D$35,341)</f>
        <v>0</v>
      </c>
      <c r="N10" s="42">
        <f>SUMIFS(UCCo_IMC!P$3:P$35,UCCo_IMC!$C$3:$C$35,'Equipment Analysis'!$B10,UCCo_IMC!$D$3:$D$35,341)</f>
        <v>0</v>
      </c>
      <c r="O10" s="36">
        <f>SUM(C10:N10)</f>
        <v>5892180.3300000001</v>
      </c>
      <c r="Q10" s="43">
        <f t="shared" ref="Q10:Q22" si="0">+C10/(C$50+C$52+C$53)</f>
        <v>7.6024095734066321</v>
      </c>
      <c r="R10" s="43">
        <f t="shared" ref="R10:R21" si="1">IFERROR(D10/(D$50+D$52+D$53),0)</f>
        <v>9.6842482960917948</v>
      </c>
      <c r="S10" s="43">
        <f t="shared" ref="S10:AB10" si="2">IFERROR(E10/(E$50+E$52+E$53),0)</f>
        <v>8.9191655846246558</v>
      </c>
      <c r="T10" s="43">
        <f t="shared" si="2"/>
        <v>6.0369783251270182</v>
      </c>
      <c r="U10" s="43">
        <f t="shared" si="2"/>
        <v>7.563394073496343</v>
      </c>
      <c r="V10" s="43">
        <f t="shared" si="2"/>
        <v>7.5825694299467061</v>
      </c>
      <c r="W10" s="43">
        <f t="shared" si="2"/>
        <v>6.214110441346099</v>
      </c>
      <c r="X10" s="43">
        <f t="shared" si="2"/>
        <v>5.9328142662806691</v>
      </c>
      <c r="Y10" s="43">
        <f t="shared" si="2"/>
        <v>6.0768074064364521</v>
      </c>
      <c r="Z10" s="43">
        <f t="shared" si="2"/>
        <v>5.9540295145943567</v>
      </c>
      <c r="AA10" s="43">
        <f t="shared" si="2"/>
        <v>0</v>
      </c>
      <c r="AB10" s="43">
        <f t="shared" si="2"/>
        <v>0</v>
      </c>
      <c r="AC10" s="43">
        <f t="shared" ref="AC10:AC22" si="3">+O10/(O$50+O$52+O$53)</f>
        <v>6.8882285040247329</v>
      </c>
    </row>
    <row r="11" spans="1:29" x14ac:dyDescent="0.2">
      <c r="A11" s="41" t="s">
        <v>53</v>
      </c>
      <c r="B11" s="41" t="s">
        <v>21</v>
      </c>
      <c r="C11" s="42">
        <v>293422.21000000002</v>
      </c>
      <c r="D11" s="42">
        <v>231941.64</v>
      </c>
      <c r="E11" s="42">
        <v>49706.42</v>
      </c>
      <c r="F11" s="42">
        <v>340243.92</v>
      </c>
      <c r="G11" s="42">
        <v>406620.5</v>
      </c>
      <c r="H11" s="42">
        <v>-9864.56</v>
      </c>
      <c r="I11" s="42">
        <f>SUMIFS(UCCo_IMC!K$3:K$35,UCCo_IMC!$C$3:$C$35,'Equipment Analysis'!$B11,UCCo_IMC!$D$3:$D$35,341)</f>
        <v>739131.43</v>
      </c>
      <c r="J11" s="42">
        <f>SUMIFS(UCCo_IMC!L$3:L$35,UCCo_IMC!$C$3:$C$35,'Equipment Analysis'!$B11,UCCo_IMC!$D$3:$D$35,341)</f>
        <v>251897.61</v>
      </c>
      <c r="K11" s="42">
        <f>SUMIFS(UCCo_IMC!M$3:M$35,UCCo_IMC!$C$3:$C$35,'Equipment Analysis'!$B11,UCCo_IMC!$D$3:$D$35,341)</f>
        <v>435893.39</v>
      </c>
      <c r="L11" s="42">
        <f>SUMIFS(UCCo_IMC!N$3:N$35,UCCo_IMC!$C$3:$C$35,'Equipment Analysis'!$B11,UCCo_IMC!$D$3:$D$35,341)</f>
        <v>344975.35</v>
      </c>
      <c r="M11" s="42">
        <f>SUMIFS(UCCo_IMC!O$3:O$35,UCCo_IMC!$C$3:$C$35,'Equipment Analysis'!$B11,UCCo_IMC!$D$3:$D$35,341)</f>
        <v>0</v>
      </c>
      <c r="N11" s="42">
        <f>SUMIFS(UCCo_IMC!P$3:P$35,UCCo_IMC!$C$3:$C$35,'Equipment Analysis'!$B11,UCCo_IMC!$D$3:$D$35,341)</f>
        <v>0</v>
      </c>
      <c r="O11" s="36">
        <f t="shared" ref="O11:O21" si="4">SUM(C11:N11)</f>
        <v>3083967.91</v>
      </c>
      <c r="Q11" s="43">
        <f t="shared" si="0"/>
        <v>3.7776360019826583</v>
      </c>
      <c r="R11" s="43">
        <f t="shared" si="1"/>
        <v>4.0020988698127864</v>
      </c>
      <c r="S11" s="43">
        <f t="shared" ref="S11:S21" si="5">IFERROR(E11/(E$50+E$52+E$53),0)</f>
        <v>0.84677671865806114</v>
      </c>
      <c r="T11" s="43">
        <f t="shared" ref="T11:T21" si="6">IFERROR(F11/(F$50+F$52+F$53),0)</f>
        <v>4.1723679215019169</v>
      </c>
      <c r="U11" s="43">
        <f t="shared" ref="U11:U21" si="7">IFERROR(G11/(G$50+G$52+G$53),0)</f>
        <v>5.3734171452524242</v>
      </c>
      <c r="V11" s="43">
        <f t="shared" ref="V11:V21" si="8">IFERROR(H11/(H$50+H$52+H$53),0)</f>
        <v>-0.14584975725614574</v>
      </c>
      <c r="W11" s="43">
        <f t="shared" ref="W11:W21" si="9">IFERROR(I11/(I$50+I$52+I$53),0)</f>
        <v>6.2055508226937679</v>
      </c>
      <c r="X11" s="43">
        <f t="shared" ref="X11:X21" si="10">IFERROR(J11/(J$50+J$52+J$53),0)</f>
        <v>2.620800761589662</v>
      </c>
      <c r="Y11" s="43">
        <f t="shared" ref="Y11:Y21" si="11">IFERROR(K11/(K$50+K$52+K$53),0)</f>
        <v>4.0536813569353134</v>
      </c>
      <c r="Z11" s="43">
        <f t="shared" ref="Z11:Z21" si="12">IFERROR(L11/(L$50+L$52+L$53),0)</f>
        <v>3.0404618765159053</v>
      </c>
      <c r="AA11" s="43">
        <f t="shared" ref="AA11:AA21" si="13">IFERROR(M11/(M$50+M$52+M$53),0)</f>
        <v>0</v>
      </c>
      <c r="AB11" s="43">
        <f t="shared" ref="AB11:AB21" si="14">IFERROR(N11/(N$50+N$52+N$53),0)</f>
        <v>0</v>
      </c>
      <c r="AC11" s="43">
        <f t="shared" si="3"/>
        <v>3.6052996468897245</v>
      </c>
    </row>
    <row r="12" spans="1:29" x14ac:dyDescent="0.2">
      <c r="A12" s="41" t="s">
        <v>54</v>
      </c>
      <c r="B12" s="41" t="s">
        <v>22</v>
      </c>
      <c r="C12" s="42">
        <v>392435.02</v>
      </c>
      <c r="D12" s="42">
        <v>403947.87</v>
      </c>
      <c r="E12" s="42">
        <v>407412.74</v>
      </c>
      <c r="F12" s="42">
        <v>388972.38</v>
      </c>
      <c r="G12" s="42">
        <v>395347.45</v>
      </c>
      <c r="H12" s="42">
        <v>391476.87</v>
      </c>
      <c r="I12" s="42">
        <f>SUMIFS(UCCo_IMC!K$3:K$35,UCCo_IMC!$C$3:$C$35,'Equipment Analysis'!$B12,UCCo_IMC!$D$3:$D$35,341)</f>
        <v>394134.84</v>
      </c>
      <c r="J12" s="42">
        <f>SUMIFS(UCCo_IMC!L$3:L$35,UCCo_IMC!$C$3:$C$35,'Equipment Analysis'!$B12,UCCo_IMC!$D$3:$D$35,341)</f>
        <v>444552.79</v>
      </c>
      <c r="K12" s="42">
        <f>SUMIFS(UCCo_IMC!M$3:M$35,UCCo_IMC!$C$3:$C$35,'Equipment Analysis'!$B12,UCCo_IMC!$D$3:$D$35,341)</f>
        <v>392068.76</v>
      </c>
      <c r="L12" s="42">
        <f>SUMIFS(UCCo_IMC!N$3:N$35,UCCo_IMC!$C$3:$C$35,'Equipment Analysis'!$B12,UCCo_IMC!$D$3:$D$35,341)</f>
        <v>411163.05</v>
      </c>
      <c r="M12" s="42">
        <f>SUMIFS(UCCo_IMC!O$3:O$35,UCCo_IMC!$C$3:$C$35,'Equipment Analysis'!$B12,UCCo_IMC!$D$3:$D$35,341)</f>
        <v>0</v>
      </c>
      <c r="N12" s="42">
        <f>SUMIFS(UCCo_IMC!P$3:P$35,UCCo_IMC!$C$3:$C$35,'Equipment Analysis'!$B12,UCCo_IMC!$D$3:$D$35,341)</f>
        <v>0</v>
      </c>
      <c r="O12" s="36">
        <f t="shared" si="4"/>
        <v>4021511.7699999996</v>
      </c>
      <c r="Q12" s="43">
        <f t="shared" si="0"/>
        <v>5.0523668947581868</v>
      </c>
      <c r="R12" s="43">
        <f t="shared" si="1"/>
        <v>6.9700262272452767</v>
      </c>
      <c r="S12" s="43">
        <f t="shared" si="5"/>
        <v>6.9405043275434002</v>
      </c>
      <c r="T12" s="43">
        <f t="shared" si="6"/>
        <v>4.7699188295921759</v>
      </c>
      <c r="U12" s="43">
        <f t="shared" si="7"/>
        <v>5.2244458067456652</v>
      </c>
      <c r="V12" s="43">
        <f t="shared" si="8"/>
        <v>5.7880743247439037</v>
      </c>
      <c r="W12" s="43">
        <f t="shared" si="9"/>
        <v>3.3090512476438412</v>
      </c>
      <c r="X12" s="43">
        <f t="shared" si="10"/>
        <v>4.625229634369334</v>
      </c>
      <c r="Y12" s="43">
        <f t="shared" si="11"/>
        <v>3.6461250835869423</v>
      </c>
      <c r="Z12" s="43">
        <f t="shared" si="12"/>
        <v>3.6238113203073872</v>
      </c>
      <c r="AA12" s="43">
        <f t="shared" si="13"/>
        <v>0</v>
      </c>
      <c r="AB12" s="43">
        <f t="shared" si="14"/>
        <v>0</v>
      </c>
      <c r="AC12" s="43">
        <f t="shared" si="3"/>
        <v>4.7013313327063342</v>
      </c>
    </row>
    <row r="13" spans="1:29" x14ac:dyDescent="0.2">
      <c r="A13" s="41" t="s">
        <v>55</v>
      </c>
      <c r="B13" s="41" t="s">
        <v>23</v>
      </c>
      <c r="C13" s="42">
        <v>163566.12</v>
      </c>
      <c r="D13" s="42">
        <v>161170.72</v>
      </c>
      <c r="E13" s="42">
        <v>154781.97</v>
      </c>
      <c r="F13" s="42">
        <v>153255.73000000001</v>
      </c>
      <c r="G13" s="42">
        <v>148043.93</v>
      </c>
      <c r="H13" s="42">
        <v>145367.07999999999</v>
      </c>
      <c r="I13" s="42">
        <f>SUMIFS(UCCo_IMC!K$3:K$35,UCCo_IMC!$C$3:$C$35,'Equipment Analysis'!$B13,UCCo_IMC!$D$3:$D$35,341)</f>
        <v>144944.34</v>
      </c>
      <c r="J13" s="42">
        <f>SUMIFS(UCCo_IMC!L$3:L$35,UCCo_IMC!$C$3:$C$35,'Equipment Analysis'!$B13,UCCo_IMC!$D$3:$D$35,341)</f>
        <v>142161.16</v>
      </c>
      <c r="K13" s="42">
        <f>SUMIFS(UCCo_IMC!M$3:M$35,UCCo_IMC!$C$3:$C$35,'Equipment Analysis'!$B13,UCCo_IMC!$D$3:$D$35,341)</f>
        <v>149636.57999999999</v>
      </c>
      <c r="L13" s="42">
        <f>SUMIFS(UCCo_IMC!N$3:N$35,UCCo_IMC!$C$3:$C$35,'Equipment Analysis'!$B13,UCCo_IMC!$D$3:$D$35,341)</f>
        <v>145525.25</v>
      </c>
      <c r="M13" s="42">
        <f>SUMIFS(UCCo_IMC!O$3:O$35,UCCo_IMC!$C$3:$C$35,'Equipment Analysis'!$B13,UCCo_IMC!$D$3:$D$35,341)</f>
        <v>0</v>
      </c>
      <c r="N13" s="42">
        <f>SUMIFS(UCCo_IMC!P$3:P$35,UCCo_IMC!$C$3:$C$35,'Equipment Analysis'!$B13,UCCo_IMC!$D$3:$D$35,341)</f>
        <v>0</v>
      </c>
      <c r="O13" s="36">
        <f t="shared" si="4"/>
        <v>1508452.88</v>
      </c>
      <c r="Q13" s="43">
        <f t="shared" si="0"/>
        <v>2.1058162693840239</v>
      </c>
      <c r="R13" s="43">
        <f t="shared" si="1"/>
        <v>2.7809631610732466</v>
      </c>
      <c r="S13" s="43">
        <f t="shared" si="5"/>
        <v>2.6367975940337378</v>
      </c>
      <c r="T13" s="43">
        <f t="shared" si="6"/>
        <v>1.8793555271710927</v>
      </c>
      <c r="U13" s="43">
        <f t="shared" si="7"/>
        <v>1.9563740433956225</v>
      </c>
      <c r="V13" s="43">
        <f t="shared" si="8"/>
        <v>2.149285252564201</v>
      </c>
      <c r="W13" s="43">
        <f t="shared" si="9"/>
        <v>1.2169141127333809</v>
      </c>
      <c r="X13" s="43">
        <f t="shared" si="10"/>
        <v>1.4790774568939731</v>
      </c>
      <c r="Y13" s="43">
        <f t="shared" si="11"/>
        <v>1.3915765381566338</v>
      </c>
      <c r="Z13" s="43">
        <f t="shared" si="12"/>
        <v>1.2825959150282658</v>
      </c>
      <c r="AA13" s="43">
        <f t="shared" si="13"/>
        <v>0</v>
      </c>
      <c r="AB13" s="43">
        <f t="shared" si="14"/>
        <v>0</v>
      </c>
      <c r="AC13" s="43">
        <f t="shared" si="3"/>
        <v>1.763450461977663</v>
      </c>
    </row>
    <row r="14" spans="1:29" x14ac:dyDescent="0.2">
      <c r="A14" s="41" t="s">
        <v>56</v>
      </c>
      <c r="B14" s="41" t="s">
        <v>24</v>
      </c>
      <c r="C14" s="42">
        <v>178220.96</v>
      </c>
      <c r="D14" s="42">
        <v>175529.79</v>
      </c>
      <c r="E14" s="42">
        <v>201766.26</v>
      </c>
      <c r="F14" s="42">
        <v>244800.07</v>
      </c>
      <c r="G14" s="42">
        <v>267759.35999999999</v>
      </c>
      <c r="H14" s="42">
        <v>464535.3</v>
      </c>
      <c r="I14" s="42">
        <f>SUMIFS(UCCo_IMC!K$3:K$35,UCCo_IMC!$C$3:$C$35,'Equipment Analysis'!$B14,UCCo_IMC!$D$3:$D$35,341)</f>
        <v>152083.10999999999</v>
      </c>
      <c r="J14" s="42">
        <f>SUMIFS(UCCo_IMC!L$3:L$35,UCCo_IMC!$C$3:$C$35,'Equipment Analysis'!$B14,UCCo_IMC!$D$3:$D$35,341)</f>
        <v>276135.89</v>
      </c>
      <c r="K14" s="42">
        <f>SUMIFS(UCCo_IMC!M$3:M$35,UCCo_IMC!$C$3:$C$35,'Equipment Analysis'!$B14,UCCo_IMC!$D$3:$D$35,341)</f>
        <v>102598.68999999999</v>
      </c>
      <c r="L14" s="42">
        <f>SUMIFS(UCCo_IMC!N$3:N$35,UCCo_IMC!$C$3:$C$35,'Equipment Analysis'!$B14,UCCo_IMC!$D$3:$D$35,341)</f>
        <v>479935.34</v>
      </c>
      <c r="M14" s="42">
        <f>SUMIFS(UCCo_IMC!O$3:O$35,UCCo_IMC!$C$3:$C$35,'Equipment Analysis'!$B14,UCCo_IMC!$D$3:$D$35,341)</f>
        <v>0</v>
      </c>
      <c r="N14" s="42">
        <f>SUMIFS(UCCo_IMC!P$3:P$35,UCCo_IMC!$C$3:$C$35,'Equipment Analysis'!$B14,UCCo_IMC!$D$3:$D$35,341)</f>
        <v>0</v>
      </c>
      <c r="O14" s="36">
        <f t="shared" si="4"/>
        <v>2543364.77</v>
      </c>
      <c r="Q14" s="43">
        <f t="shared" si="0"/>
        <v>2.2944885964968744</v>
      </c>
      <c r="R14" s="43">
        <f t="shared" si="1"/>
        <v>3.0287255629367613</v>
      </c>
      <c r="S14" s="43">
        <f t="shared" si="5"/>
        <v>3.4372013027433725</v>
      </c>
      <c r="T14" s="43">
        <f t="shared" si="6"/>
        <v>3.0019521267255085</v>
      </c>
      <c r="U14" s="43">
        <f t="shared" si="7"/>
        <v>3.5383920285027837</v>
      </c>
      <c r="V14" s="43">
        <f t="shared" si="8"/>
        <v>6.8682597847152671</v>
      </c>
      <c r="W14" s="43">
        <f t="shared" si="9"/>
        <v>1.2768493262129668</v>
      </c>
      <c r="X14" s="43">
        <f t="shared" si="10"/>
        <v>2.8729814102414042</v>
      </c>
      <c r="Y14" s="43">
        <f t="shared" si="11"/>
        <v>0.95413788426336421</v>
      </c>
      <c r="Z14" s="43">
        <f t="shared" si="12"/>
        <v>4.2299402101126908</v>
      </c>
      <c r="AA14" s="43">
        <f t="shared" si="13"/>
        <v>0</v>
      </c>
      <c r="AB14" s="43">
        <f t="shared" si="14"/>
        <v>0</v>
      </c>
      <c r="AC14" s="43">
        <f t="shared" si="3"/>
        <v>2.9733098316164921</v>
      </c>
    </row>
    <row r="15" spans="1:29" x14ac:dyDescent="0.2">
      <c r="A15" s="41" t="s">
        <v>57</v>
      </c>
      <c r="B15" s="41" t="s">
        <v>31</v>
      </c>
      <c r="C15" s="42">
        <v>27833.24</v>
      </c>
      <c r="D15" s="42">
        <v>3174.73</v>
      </c>
      <c r="E15" s="42">
        <v>7854.96</v>
      </c>
      <c r="F15" s="42">
        <v>42630.54</v>
      </c>
      <c r="G15" s="42">
        <v>26580.54</v>
      </c>
      <c r="H15" s="42">
        <v>14537</v>
      </c>
      <c r="I15" s="42">
        <f>SUMIFS(UCCo_IMC!K$3:K$35,UCCo_IMC!$C$3:$C$35,'Equipment Analysis'!$B15,UCCo_IMC!$D$3:$D$35,341)</f>
        <v>302633.14</v>
      </c>
      <c r="J15" s="42">
        <f>SUMIFS(UCCo_IMC!L$3:L$35,UCCo_IMC!$C$3:$C$35,'Equipment Analysis'!$B15,UCCo_IMC!$D$3:$D$35,341)</f>
        <v>94383.24</v>
      </c>
      <c r="K15" s="42">
        <f>SUMIFS(UCCo_IMC!M$3:M$35,UCCo_IMC!$C$3:$C$35,'Equipment Analysis'!$B15,UCCo_IMC!$D$3:$D$35,341)</f>
        <v>331233.84000000003</v>
      </c>
      <c r="L15" s="42">
        <f>SUMIFS(UCCo_IMC!N$3:N$35,UCCo_IMC!$C$3:$C$35,'Equipment Analysis'!$B15,UCCo_IMC!$D$3:$D$35,341)</f>
        <v>59879.37</v>
      </c>
      <c r="M15" s="42">
        <f>SUMIFS(UCCo_IMC!O$3:O$35,UCCo_IMC!$C$3:$C$35,'Equipment Analysis'!$B15,UCCo_IMC!$D$3:$D$35,341)</f>
        <v>0</v>
      </c>
      <c r="N15" s="42">
        <f>SUMIFS(UCCo_IMC!P$3:P$35,UCCo_IMC!$C$3:$C$35,'Equipment Analysis'!$B15,UCCo_IMC!$D$3:$D$35,341)</f>
        <v>0</v>
      </c>
      <c r="O15" s="36">
        <f t="shared" si="4"/>
        <v>910740.6</v>
      </c>
      <c r="Q15" s="43">
        <f t="shared" si="0"/>
        <v>0.35833636954688536</v>
      </c>
      <c r="R15" s="43">
        <f t="shared" si="1"/>
        <v>5.4779225260978344E-2</v>
      </c>
      <c r="S15" s="43">
        <f t="shared" si="5"/>
        <v>0.13381364527942918</v>
      </c>
      <c r="T15" s="43">
        <f t="shared" si="6"/>
        <v>0.5227728906141933</v>
      </c>
      <c r="U15" s="43">
        <f t="shared" si="7"/>
        <v>0.35125707967519565</v>
      </c>
      <c r="V15" s="43">
        <f t="shared" si="8"/>
        <v>0.21493284254265679</v>
      </c>
      <c r="W15" s="43">
        <f t="shared" si="9"/>
        <v>2.5408273206585168</v>
      </c>
      <c r="X15" s="43">
        <f t="shared" si="10"/>
        <v>0.98198497108924498</v>
      </c>
      <c r="Y15" s="43">
        <f t="shared" si="11"/>
        <v>3.0803780759191932</v>
      </c>
      <c r="Z15" s="43">
        <f t="shared" si="12"/>
        <v>0.52775058181632462</v>
      </c>
      <c r="AA15" s="43">
        <f t="shared" si="13"/>
        <v>0</v>
      </c>
      <c r="AB15" s="43">
        <f t="shared" si="14"/>
        <v>0</v>
      </c>
      <c r="AC15" s="43">
        <f t="shared" si="3"/>
        <v>1.0646974480315314</v>
      </c>
    </row>
    <row r="16" spans="1:29" x14ac:dyDescent="0.2">
      <c r="A16" s="41" t="s">
        <v>58</v>
      </c>
      <c r="B16" s="41" t="s">
        <v>40</v>
      </c>
      <c r="C16" s="42">
        <v>68681.600000000006</v>
      </c>
      <c r="D16" s="42">
        <v>73636.3</v>
      </c>
      <c r="E16" s="42">
        <v>115487.02</v>
      </c>
      <c r="F16" s="42">
        <v>263793.12</v>
      </c>
      <c r="G16" s="42">
        <v>178845.52</v>
      </c>
      <c r="H16" s="42">
        <v>186614.69</v>
      </c>
      <c r="I16" s="42">
        <f>SUMIFS(UCCo_IMC!K$3:K$35,UCCo_IMC!$C$3:$C$35,'Equipment Analysis'!$B16,UCCo_IMC!$D$3:$D$35,341)</f>
        <v>-466840.38</v>
      </c>
      <c r="J16" s="42">
        <f>SUMIFS(UCCo_IMC!L$3:L$35,UCCo_IMC!$C$3:$C$35,'Equipment Analysis'!$B16,UCCo_IMC!$D$3:$D$35,341)</f>
        <v>-120205.35</v>
      </c>
      <c r="K16" s="42">
        <f>SUMIFS(UCCo_IMC!M$3:M$35,UCCo_IMC!$C$3:$C$35,'Equipment Analysis'!$B16,UCCo_IMC!$D$3:$D$35,341)</f>
        <v>-110116.2</v>
      </c>
      <c r="L16" s="42">
        <f>SUMIFS(UCCo_IMC!N$3:N$35,UCCo_IMC!$C$3:$C$35,'Equipment Analysis'!$B16,UCCo_IMC!$D$3:$D$35,341)</f>
        <v>-128248.1</v>
      </c>
      <c r="M16" s="42">
        <f>SUMIFS(UCCo_IMC!O$3:O$35,UCCo_IMC!$C$3:$C$35,'Equipment Analysis'!$B16,UCCo_IMC!$D$3:$D$35,341)</f>
        <v>0</v>
      </c>
      <c r="N16" s="42">
        <f>SUMIFS(UCCo_IMC!P$3:P$35,UCCo_IMC!$C$3:$C$35,'Equipment Analysis'!$B16,UCCo_IMC!$D$3:$D$35,341)</f>
        <v>0</v>
      </c>
      <c r="O16" s="36">
        <f t="shared" si="4"/>
        <v>61648.22</v>
      </c>
      <c r="Q16" s="43">
        <f t="shared" si="0"/>
        <v>0.88423464888282366</v>
      </c>
      <c r="R16" s="43">
        <f t="shared" si="1"/>
        <v>1.2705771719437495</v>
      </c>
      <c r="S16" s="43">
        <f t="shared" si="5"/>
        <v>1.9673861010951479</v>
      </c>
      <c r="T16" s="43">
        <f t="shared" si="6"/>
        <v>3.2348614834936824</v>
      </c>
      <c r="U16" s="43">
        <f t="shared" si="7"/>
        <v>2.3634115434897782</v>
      </c>
      <c r="V16" s="43">
        <f t="shared" si="8"/>
        <v>2.7591405229357302</v>
      </c>
      <c r="W16" s="43">
        <f t="shared" si="9"/>
        <v>-3.9194676164368643</v>
      </c>
      <c r="X16" s="43">
        <f t="shared" si="10"/>
        <v>-1.2506441519121676</v>
      </c>
      <c r="Y16" s="43">
        <f t="shared" si="11"/>
        <v>-1.0240485340614143</v>
      </c>
      <c r="Z16" s="43">
        <f t="shared" si="12"/>
        <v>-1.1303226702591924</v>
      </c>
      <c r="AA16" s="43">
        <f t="shared" si="13"/>
        <v>0</v>
      </c>
      <c r="AB16" s="43">
        <f t="shared" si="14"/>
        <v>0</v>
      </c>
      <c r="AC16" s="43">
        <f t="shared" si="3"/>
        <v>7.2069590956729532E-2</v>
      </c>
    </row>
    <row r="17" spans="1:29" x14ac:dyDescent="0.2">
      <c r="A17" s="41" t="s">
        <v>59</v>
      </c>
      <c r="B17" s="41" t="s">
        <v>41</v>
      </c>
      <c r="C17" s="42">
        <v>-31565.05</v>
      </c>
      <c r="D17" s="42">
        <v>-39067.5</v>
      </c>
      <c r="E17" s="42">
        <v>-10053.11</v>
      </c>
      <c r="F17" s="42">
        <v>-305997.28999999998</v>
      </c>
      <c r="G17" s="42">
        <v>-135336.35</v>
      </c>
      <c r="H17" s="42">
        <v>-155908.15</v>
      </c>
      <c r="I17" s="42">
        <f>SUMIFS(UCCo_IMC!K$3:K$35,UCCo_IMC!$C$3:$C$35,'Equipment Analysis'!$B17,UCCo_IMC!$D$3:$D$35,341)</f>
        <v>0</v>
      </c>
      <c r="J17" s="42">
        <f>SUMIFS(UCCo_IMC!L$3:L$35,UCCo_IMC!$C$3:$C$35,'Equipment Analysis'!$B17,UCCo_IMC!$D$3:$D$35,341)</f>
        <v>0</v>
      </c>
      <c r="K17" s="42">
        <f>SUMIFS(UCCo_IMC!M$3:M$35,UCCo_IMC!$C$3:$C$35,'Equipment Analysis'!$B17,UCCo_IMC!$D$3:$D$35,341)</f>
        <v>0</v>
      </c>
      <c r="L17" s="42">
        <f>SUMIFS(UCCo_IMC!N$3:N$35,UCCo_IMC!$C$3:$C$35,'Equipment Analysis'!$B17,UCCo_IMC!$D$3:$D$35,341)</f>
        <v>0</v>
      </c>
      <c r="M17" s="42">
        <f>SUMIFS(UCCo_IMC!O$3:O$35,UCCo_IMC!$C$3:$C$35,'Equipment Analysis'!$B17,UCCo_IMC!$D$3:$D$35,341)</f>
        <v>0</v>
      </c>
      <c r="N17" s="42">
        <f>SUMIFS(UCCo_IMC!P$3:P$35,UCCo_IMC!$C$3:$C$35,'Equipment Analysis'!$B17,UCCo_IMC!$D$3:$D$35,341)</f>
        <v>0</v>
      </c>
      <c r="O17" s="36">
        <f t="shared" si="4"/>
        <v>-677927.45</v>
      </c>
      <c r="Q17" s="43">
        <f t="shared" si="0"/>
        <v>-0.40638119822075741</v>
      </c>
      <c r="R17" s="43">
        <f t="shared" si="1"/>
        <v>-0.67410059528944866</v>
      </c>
      <c r="S17" s="43">
        <f t="shared" si="5"/>
        <v>-0.17126036230548372</v>
      </c>
      <c r="T17" s="43">
        <f t="shared" si="6"/>
        <v>-3.7524058530201487</v>
      </c>
      <c r="U17" s="43">
        <f t="shared" si="7"/>
        <v>-1.788445647639219</v>
      </c>
      <c r="V17" s="43">
        <f t="shared" si="8"/>
        <v>-2.3051373636284596</v>
      </c>
      <c r="W17" s="43">
        <f t="shared" si="9"/>
        <v>0</v>
      </c>
      <c r="X17" s="43">
        <f t="shared" si="10"/>
        <v>0</v>
      </c>
      <c r="Y17" s="43">
        <f t="shared" si="11"/>
        <v>0</v>
      </c>
      <c r="Z17" s="43">
        <f t="shared" si="12"/>
        <v>0</v>
      </c>
      <c r="AA17" s="43">
        <f t="shared" si="13"/>
        <v>0</v>
      </c>
      <c r="AB17" s="43">
        <f t="shared" si="14"/>
        <v>0</v>
      </c>
      <c r="AC17" s="43">
        <f t="shared" si="3"/>
        <v>-0.79252821930363448</v>
      </c>
    </row>
    <row r="18" spans="1:29" x14ac:dyDescent="0.2">
      <c r="A18" s="41" t="s">
        <v>60</v>
      </c>
      <c r="B18" s="41" t="s">
        <v>25</v>
      </c>
      <c r="C18" s="42">
        <v>70699.490000000005</v>
      </c>
      <c r="D18" s="42">
        <v>33613.370000000003</v>
      </c>
      <c r="E18" s="42">
        <v>37401.29</v>
      </c>
      <c r="F18" s="42">
        <v>67150.34</v>
      </c>
      <c r="G18" s="42">
        <v>-165.92</v>
      </c>
      <c r="H18" s="42">
        <v>26528.77</v>
      </c>
      <c r="I18" s="42">
        <f>SUMIFS(UCCo_IMC!K$3:K$35,UCCo_IMC!$C$3:$C$35,'Equipment Analysis'!$B18,UCCo_IMC!$D$3:$D$35,341)</f>
        <v>23983.68</v>
      </c>
      <c r="J18" s="42">
        <f>SUMIFS(UCCo_IMC!L$3:L$35,UCCo_IMC!$C$3:$C$35,'Equipment Analysis'!$B18,UCCo_IMC!$D$3:$D$35,341)</f>
        <v>19560.39</v>
      </c>
      <c r="K18" s="42">
        <f>SUMIFS(UCCo_IMC!M$3:M$35,UCCo_IMC!$C$3:$C$35,'Equipment Analysis'!$B18,UCCo_IMC!$D$3:$D$35,341)</f>
        <v>18093.53</v>
      </c>
      <c r="L18" s="42">
        <f>SUMIFS(UCCo_IMC!N$3:N$35,UCCo_IMC!$C$3:$C$35,'Equipment Analysis'!$B18,UCCo_IMC!$D$3:$D$35,341)</f>
        <v>30203.919999999998</v>
      </c>
      <c r="M18" s="42">
        <f>SUMIFS(UCCo_IMC!O$3:O$35,UCCo_IMC!$C$3:$C$35,'Equipment Analysis'!$B18,UCCo_IMC!$D$3:$D$35,341)</f>
        <v>0</v>
      </c>
      <c r="N18" s="42">
        <f>SUMIFS(UCCo_IMC!P$3:P$35,UCCo_IMC!$C$3:$C$35,'Equipment Analysis'!$B18,UCCo_IMC!$D$3:$D$35,341)</f>
        <v>0</v>
      </c>
      <c r="O18" s="36">
        <f t="shared" si="4"/>
        <v>327068.85999999993</v>
      </c>
      <c r="Q18" s="43">
        <f t="shared" si="0"/>
        <v>0.91021377947433812</v>
      </c>
      <c r="R18" s="43">
        <f t="shared" si="1"/>
        <v>0.57999085497368652</v>
      </c>
      <c r="S18" s="43">
        <f t="shared" si="5"/>
        <v>0.63715193368942191</v>
      </c>
      <c r="T18" s="43">
        <f t="shared" si="6"/>
        <v>0.82345607978519364</v>
      </c>
      <c r="U18" s="43">
        <f t="shared" si="7"/>
        <v>-2.1926031096324021E-3</v>
      </c>
      <c r="V18" s="43">
        <f t="shared" si="8"/>
        <v>0.39223388218066713</v>
      </c>
      <c r="W18" s="43">
        <f t="shared" si="9"/>
        <v>0.20136059584859495</v>
      </c>
      <c r="X18" s="43">
        <f t="shared" si="10"/>
        <v>0.20351080349270012</v>
      </c>
      <c r="Y18" s="43">
        <f t="shared" si="11"/>
        <v>0.16826455028866069</v>
      </c>
      <c r="Z18" s="43">
        <f t="shared" si="12"/>
        <v>0.26620414264768855</v>
      </c>
      <c r="AA18" s="43">
        <f t="shared" si="13"/>
        <v>0</v>
      </c>
      <c r="AB18" s="43">
        <f t="shared" si="14"/>
        <v>0</v>
      </c>
      <c r="AC18" s="43">
        <f t="shared" si="3"/>
        <v>0.38235846801227724</v>
      </c>
    </row>
    <row r="19" spans="1:29" x14ac:dyDescent="0.2">
      <c r="A19" s="41" t="s">
        <v>61</v>
      </c>
      <c r="B19" s="41" t="s">
        <v>32</v>
      </c>
      <c r="C19" s="42">
        <v>160348.03</v>
      </c>
      <c r="D19" s="42">
        <v>97259.71</v>
      </c>
      <c r="E19" s="42">
        <v>128473.03</v>
      </c>
      <c r="F19" s="42">
        <v>146473.03</v>
      </c>
      <c r="G19" s="42">
        <v>159859.64000000001</v>
      </c>
      <c r="H19" s="42">
        <v>158871.93</v>
      </c>
      <c r="I19" s="42">
        <f>SUMIFS(UCCo_IMC!K$3:K$35,UCCo_IMC!$C$3:$C$35,'Equipment Analysis'!$B19,UCCo_IMC!$D$3:$D$35,341)</f>
        <v>165886.59</v>
      </c>
      <c r="J19" s="42">
        <f>SUMIFS(UCCo_IMC!L$3:L$35,UCCo_IMC!$C$3:$C$35,'Equipment Analysis'!$B19,UCCo_IMC!$D$3:$D$35,341)</f>
        <v>160886.59</v>
      </c>
      <c r="K19" s="42">
        <f>SUMIFS(UCCo_IMC!M$3:M$35,UCCo_IMC!$C$3:$C$35,'Equipment Analysis'!$B19,UCCo_IMC!$D$3:$D$35,341)</f>
        <v>165481.91</v>
      </c>
      <c r="L19" s="42">
        <f>SUMIFS(UCCo_IMC!N$3:N$35,UCCo_IMC!$C$3:$C$35,'Equipment Analysis'!$B19,UCCo_IMC!$D$3:$D$35,341)</f>
        <v>167719.93</v>
      </c>
      <c r="M19" s="42">
        <f>SUMIFS(UCCo_IMC!O$3:O$35,UCCo_IMC!$C$3:$C$35,'Equipment Analysis'!$B19,UCCo_IMC!$D$3:$D$35,341)</f>
        <v>0</v>
      </c>
      <c r="N19" s="42">
        <f>SUMIFS(UCCo_IMC!P$3:P$35,UCCo_IMC!$C$3:$C$35,'Equipment Analysis'!$B19,UCCo_IMC!$D$3:$D$35,341)</f>
        <v>0</v>
      </c>
      <c r="O19" s="36">
        <f t="shared" si="4"/>
        <v>1511260.39</v>
      </c>
      <c r="Q19" s="43">
        <f t="shared" si="0"/>
        <v>2.0643852794067477</v>
      </c>
      <c r="R19" s="43">
        <f t="shared" si="1"/>
        <v>1.6781935984815806</v>
      </c>
      <c r="S19" s="43">
        <f t="shared" si="5"/>
        <v>2.1886100584081221</v>
      </c>
      <c r="T19" s="43">
        <f t="shared" si="6"/>
        <v>1.7961801396397854</v>
      </c>
      <c r="U19" s="43">
        <f t="shared" si="7"/>
        <v>2.1125165366966998</v>
      </c>
      <c r="V19" s="43">
        <f t="shared" si="8"/>
        <v>2.3489575232261122</v>
      </c>
      <c r="W19" s="43">
        <f t="shared" si="9"/>
        <v>1.3927396715471343</v>
      </c>
      <c r="X19" s="43">
        <f t="shared" si="10"/>
        <v>1.6739011442052338</v>
      </c>
      <c r="Y19" s="43">
        <f t="shared" si="11"/>
        <v>1.5389334843481965</v>
      </c>
      <c r="Z19" s="43">
        <f t="shared" si="12"/>
        <v>1.4782101187720116</v>
      </c>
      <c r="AA19" s="43">
        <f t="shared" si="13"/>
        <v>0</v>
      </c>
      <c r="AB19" s="43">
        <f t="shared" si="14"/>
        <v>0</v>
      </c>
      <c r="AC19" s="43">
        <f t="shared" si="3"/>
        <v>1.7667325696736667</v>
      </c>
    </row>
    <row r="20" spans="1:29" x14ac:dyDescent="0.2">
      <c r="A20" s="41" t="s">
        <v>62</v>
      </c>
      <c r="B20" s="41" t="s">
        <v>33</v>
      </c>
      <c r="C20" s="42">
        <v>53687.96</v>
      </c>
      <c r="D20" s="42">
        <v>103131</v>
      </c>
      <c r="E20" s="42">
        <v>-7501</v>
      </c>
      <c r="F20" s="42">
        <v>5795.15</v>
      </c>
      <c r="G20" s="42">
        <v>4570.8900000000003</v>
      </c>
      <c r="H20" s="42">
        <v>153148.64000000001</v>
      </c>
      <c r="I20" s="42">
        <f>SUMIFS(UCCo_IMC!K$3:K$35,UCCo_IMC!$C$3:$C$35,'Equipment Analysis'!$B20,UCCo_IMC!$D$3:$D$35,341)</f>
        <v>31743</v>
      </c>
      <c r="J20" s="42">
        <f>SUMIFS(UCCo_IMC!L$3:L$35,UCCo_IMC!$C$3:$C$35,'Equipment Analysis'!$B20,UCCo_IMC!$D$3:$D$35,341)</f>
        <v>54723.5</v>
      </c>
      <c r="K20" s="42">
        <f>SUMIFS(UCCo_IMC!M$3:M$35,UCCo_IMC!$C$3:$C$35,'Equipment Analysis'!$B20,UCCo_IMC!$D$3:$D$35,341)</f>
        <v>87599</v>
      </c>
      <c r="L20" s="42">
        <f>SUMIFS(UCCo_IMC!N$3:N$35,UCCo_IMC!$C$3:$C$35,'Equipment Analysis'!$B20,UCCo_IMC!$D$3:$D$35,341)</f>
        <v>86328.5</v>
      </c>
      <c r="M20" s="42">
        <f>SUMIFS(UCCo_IMC!O$3:O$35,UCCo_IMC!$C$3:$C$35,'Equipment Analysis'!$B20,UCCo_IMC!$D$3:$D$35,341)</f>
        <v>0</v>
      </c>
      <c r="N20" s="42">
        <f>SUMIFS(UCCo_IMC!P$3:P$35,UCCo_IMC!$C$3:$C$35,'Equipment Analysis'!$B20,UCCo_IMC!$D$3:$D$35,341)</f>
        <v>0</v>
      </c>
      <c r="O20" s="36">
        <f t="shared" si="4"/>
        <v>573226.64</v>
      </c>
      <c r="Q20" s="43">
        <f t="shared" si="0"/>
        <v>0.69120047377805816</v>
      </c>
      <c r="R20" s="43">
        <f t="shared" si="1"/>
        <v>1.7795013372444137</v>
      </c>
      <c r="S20" s="43">
        <f t="shared" si="5"/>
        <v>-0.12778373833106701</v>
      </c>
      <c r="T20" s="43">
        <f t="shared" si="6"/>
        <v>7.1065187469894639E-2</v>
      </c>
      <c r="U20" s="43">
        <f t="shared" si="7"/>
        <v>6.0403493417235131E-2</v>
      </c>
      <c r="V20" s="43">
        <f t="shared" si="8"/>
        <v>2.2643373823169868</v>
      </c>
      <c r="W20" s="43">
        <f t="shared" si="9"/>
        <v>0.26650578201601877</v>
      </c>
      <c r="X20" s="43">
        <f t="shared" si="10"/>
        <v>0.56935590010898429</v>
      </c>
      <c r="Y20" s="43">
        <f t="shared" si="11"/>
        <v>0.81464514335988547</v>
      </c>
      <c r="Z20" s="43">
        <f t="shared" si="12"/>
        <v>0.76086164738090223</v>
      </c>
      <c r="AA20" s="43">
        <f t="shared" si="13"/>
        <v>0</v>
      </c>
      <c r="AB20" s="43">
        <f t="shared" si="14"/>
        <v>0</v>
      </c>
      <c r="AC20" s="43">
        <f t="shared" si="3"/>
        <v>0.67012818002369656</v>
      </c>
    </row>
    <row r="21" spans="1:29" x14ac:dyDescent="0.2">
      <c r="A21" s="41" t="s">
        <v>63</v>
      </c>
      <c r="B21" s="41" t="s">
        <v>26</v>
      </c>
      <c r="C21" s="42">
        <v>-60897.82</v>
      </c>
      <c r="D21" s="42">
        <v>-38515.449999999997</v>
      </c>
      <c r="E21" s="42">
        <v>-179.07</v>
      </c>
      <c r="F21" s="42">
        <v>-10562.74</v>
      </c>
      <c r="G21" s="42">
        <v>-10416.290000000001</v>
      </c>
      <c r="H21" s="42">
        <v>-52954.76</v>
      </c>
      <c r="I21" s="42">
        <f>SUMIFS(UCCo_IMC!K$3:K$35,UCCo_IMC!$C$3:$C$35,'Equipment Analysis'!$B21,UCCo_IMC!$D$3:$D$35,341)</f>
        <v>37108.870000000003</v>
      </c>
      <c r="J21" s="42">
        <f>SUMIFS(UCCo_IMC!L$3:L$35,UCCo_IMC!$C$3:$C$35,'Equipment Analysis'!$B21,UCCo_IMC!$D$3:$D$35,341)</f>
        <v>64742.71</v>
      </c>
      <c r="K21" s="42">
        <f>SUMIFS(UCCo_IMC!M$3:M$35,UCCo_IMC!$C$3:$C$35,'Equipment Analysis'!$B21,UCCo_IMC!$D$3:$D$35,341)</f>
        <v>104472.35999999999</v>
      </c>
      <c r="L21" s="42">
        <f>SUMIFS(UCCo_IMC!N$3:N$35,UCCo_IMC!$C$3:$C$35,'Equipment Analysis'!$B21,UCCo_IMC!$D$3:$D$35,341)</f>
        <v>67375.789999999994</v>
      </c>
      <c r="M21" s="42">
        <f>SUMIFS(UCCo_IMC!O$3:O$35,UCCo_IMC!$C$3:$C$35,'Equipment Analysis'!$B21,UCCo_IMC!$D$3:$D$35,341)</f>
        <v>0</v>
      </c>
      <c r="N21" s="42">
        <f>SUMIFS(UCCo_IMC!P$3:P$35,UCCo_IMC!$C$3:$C$35,'Equipment Analysis'!$B21,UCCo_IMC!$D$3:$D$35,341)</f>
        <v>0</v>
      </c>
      <c r="O21" s="36">
        <f t="shared" si="4"/>
        <v>100173.59999999996</v>
      </c>
      <c r="Q21" s="43">
        <f t="shared" si="0"/>
        <v>-0.78402312242914252</v>
      </c>
      <c r="R21" s="43">
        <f t="shared" si="1"/>
        <v>-0.66457510137175391</v>
      </c>
      <c r="S21" s="43">
        <f t="shared" si="5"/>
        <v>-3.0505577953531759E-3</v>
      </c>
      <c r="T21" s="43">
        <f t="shared" si="6"/>
        <v>-0.12952953733652364</v>
      </c>
      <c r="U21" s="43">
        <f t="shared" si="7"/>
        <v>-0.13764940841871323</v>
      </c>
      <c r="V21" s="43">
        <f t="shared" si="8"/>
        <v>-0.78294813874693414</v>
      </c>
      <c r="W21" s="43">
        <f t="shared" si="9"/>
        <v>0.3115561988180317</v>
      </c>
      <c r="X21" s="43">
        <f t="shared" si="10"/>
        <v>0.6735980689748452</v>
      </c>
      <c r="Y21" s="43">
        <f t="shared" si="11"/>
        <v>0.97156246862801576</v>
      </c>
      <c r="Z21" s="43">
        <f t="shared" si="12"/>
        <v>0.59382074949743957</v>
      </c>
      <c r="AA21" s="43">
        <f t="shared" si="13"/>
        <v>0</v>
      </c>
      <c r="AB21" s="43">
        <f t="shared" si="14"/>
        <v>0</v>
      </c>
      <c r="AC21" s="43">
        <f t="shared" si="3"/>
        <v>0.11710752356942403</v>
      </c>
    </row>
    <row r="22" spans="1:29" ht="13.5" thickBot="1" x14ac:dyDescent="0.25">
      <c r="A22" s="41" t="s">
        <v>64</v>
      </c>
      <c r="C22" s="44">
        <f>SUM(C10:C21)</f>
        <v>1906937.5199999998</v>
      </c>
      <c r="D22" s="44">
        <f t="shared" ref="D22:O22" si="15">SUM(D10:D21)</f>
        <v>1767072.7900000003</v>
      </c>
      <c r="E22" s="44">
        <f t="shared" si="15"/>
        <v>1608712.13</v>
      </c>
      <c r="F22" s="44">
        <f t="shared" si="15"/>
        <v>1828851.4799999997</v>
      </c>
      <c r="G22" s="44">
        <f t="shared" si="15"/>
        <v>2014051.0399999998</v>
      </c>
      <c r="H22" s="44">
        <f t="shared" si="15"/>
        <v>1835200.4999999998</v>
      </c>
      <c r="I22" s="44">
        <f t="shared" si="15"/>
        <v>2264959.5700000003</v>
      </c>
      <c r="J22" s="44">
        <f t="shared" si="15"/>
        <v>1959069.4899999995</v>
      </c>
      <c r="K22" s="44">
        <f t="shared" si="15"/>
        <v>2330402.5100000002</v>
      </c>
      <c r="L22" s="44">
        <f t="shared" si="15"/>
        <v>2340411.4900000002</v>
      </c>
      <c r="M22" s="44">
        <f t="shared" si="15"/>
        <v>0</v>
      </c>
      <c r="N22" s="44">
        <f t="shared" si="15"/>
        <v>0</v>
      </c>
      <c r="O22" s="44">
        <f t="shared" si="15"/>
        <v>19855668.520000003</v>
      </c>
      <c r="Q22" s="45">
        <f t="shared" si="0"/>
        <v>24.550683566467324</v>
      </c>
      <c r="R22" s="45">
        <f t="shared" ref="R22" si="16">IFERROR(D22/(D$50+D$52+D$53),0)</f>
        <v>30.490428608403075</v>
      </c>
      <c r="S22" s="45">
        <f t="shared" ref="S22" si="17">IFERROR(E22/(E$50+E$52+E$53),0)</f>
        <v>27.405312607643442</v>
      </c>
      <c r="T22" s="45">
        <f t="shared" ref="T22" si="18">IFERROR(F22/(F$50+F$52+F$53),0)</f>
        <v>22.426973120763787</v>
      </c>
      <c r="U22" s="45">
        <f t="shared" ref="U22" si="19">IFERROR(G22/(G$50+G$52+G$53),0)</f>
        <v>26.615324091504181</v>
      </c>
      <c r="V22" s="45">
        <f t="shared" ref="V22" si="20">IFERROR(H22/(H$50+H$52+H$53),0)</f>
        <v>27.133855685540688</v>
      </c>
      <c r="W22" s="45">
        <f t="shared" ref="W22" si="21">IFERROR(I22/(I$50+I$52+I$53),0)</f>
        <v>19.015997903081491</v>
      </c>
      <c r="X22" s="45">
        <f t="shared" ref="X22" si="22">IFERROR(J22/(J$50+J$52+J$53),0)</f>
        <v>20.382610265333881</v>
      </c>
      <c r="Y22" s="45">
        <f t="shared" ref="Y22" si="23">IFERROR(K22/(K$50+K$52+K$53),0)</f>
        <v>21.672063457861245</v>
      </c>
      <c r="Z22" s="45">
        <f t="shared" ref="Z22" si="24">IFERROR(L22/(L$50+L$52+L$53),0)</f>
        <v>20.627363406413782</v>
      </c>
      <c r="AA22" s="45">
        <f t="shared" ref="AA22" si="25">IFERROR(M22/(M$50+M$52+M$53),0)</f>
        <v>0</v>
      </c>
      <c r="AB22" s="45">
        <f t="shared" ref="AB22" si="26">IFERROR(N22/(N$50+N$52+N$53),0)</f>
        <v>0</v>
      </c>
      <c r="AC22" s="45">
        <f t="shared" si="3"/>
        <v>23.212185338178642</v>
      </c>
    </row>
    <row r="23" spans="1:29" ht="13.5" thickTop="1" x14ac:dyDescent="0.2"/>
    <row r="25" spans="1:29" ht="23.25" x14ac:dyDescent="0.35">
      <c r="A25" s="68" t="s">
        <v>65</v>
      </c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</row>
    <row r="26" spans="1:29" ht="19.5" thickBot="1" x14ac:dyDescent="0.35">
      <c r="A26" s="37"/>
      <c r="B26" s="37"/>
      <c r="C26" s="69" t="s">
        <v>48</v>
      </c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37"/>
      <c r="Q26" s="69" t="s">
        <v>49</v>
      </c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</row>
    <row r="27" spans="1:29" ht="13.5" thickBot="1" x14ac:dyDescent="0.25">
      <c r="A27" s="37"/>
      <c r="B27" s="37"/>
      <c r="C27" s="38" t="s">
        <v>4</v>
      </c>
      <c r="D27" s="38" t="s">
        <v>5</v>
      </c>
      <c r="E27" s="38" t="s">
        <v>6</v>
      </c>
      <c r="F27" s="38" t="s">
        <v>7</v>
      </c>
      <c r="G27" s="38" t="s">
        <v>8</v>
      </c>
      <c r="H27" s="38" t="s">
        <v>9</v>
      </c>
      <c r="I27" s="38" t="s">
        <v>10</v>
      </c>
      <c r="J27" s="38" t="s">
        <v>11</v>
      </c>
      <c r="K27" s="38" t="s">
        <v>12</v>
      </c>
      <c r="L27" s="38" t="s">
        <v>13</v>
      </c>
      <c r="M27" s="38" t="s">
        <v>14</v>
      </c>
      <c r="N27" s="38" t="s">
        <v>15</v>
      </c>
      <c r="O27" s="38" t="s">
        <v>50</v>
      </c>
      <c r="P27" s="37"/>
      <c r="Q27" s="40" t="s">
        <v>4</v>
      </c>
      <c r="R27" s="40" t="s">
        <v>5</v>
      </c>
      <c r="S27" s="40" t="s">
        <v>6</v>
      </c>
      <c r="T27" s="40" t="s">
        <v>7</v>
      </c>
      <c r="U27" s="40" t="s">
        <v>8</v>
      </c>
      <c r="V27" s="40" t="s">
        <v>9</v>
      </c>
      <c r="W27" s="40" t="s">
        <v>10</v>
      </c>
      <c r="X27" s="40" t="s">
        <v>11</v>
      </c>
      <c r="Y27" s="40" t="s">
        <v>12</v>
      </c>
      <c r="Z27" s="40" t="s">
        <v>13</v>
      </c>
      <c r="AA27" s="40" t="s">
        <v>14</v>
      </c>
      <c r="AB27" s="40" t="s">
        <v>51</v>
      </c>
      <c r="AC27" s="40" t="s">
        <v>50</v>
      </c>
    </row>
    <row r="28" spans="1:29" ht="13.5" thickBot="1" x14ac:dyDescent="0.25">
      <c r="A28" s="41" t="s">
        <v>52</v>
      </c>
      <c r="B28" s="41" t="s">
        <v>20</v>
      </c>
      <c r="C28" s="11">
        <v>20808.330000000002</v>
      </c>
      <c r="D28" s="11">
        <v>14021.010000000002</v>
      </c>
      <c r="E28" s="11">
        <v>19129.810000000005</v>
      </c>
      <c r="F28" s="11">
        <v>15162.89</v>
      </c>
      <c r="G28" s="11">
        <v>14275.809999999998</v>
      </c>
      <c r="H28" s="11">
        <v>11444.580000000002</v>
      </c>
      <c r="I28" s="11">
        <v>12442.09</v>
      </c>
      <c r="J28" s="11">
        <v>35366.19</v>
      </c>
      <c r="K28" s="11">
        <v>36221.810000000005</v>
      </c>
      <c r="L28" s="11">
        <v>32934.370000000003</v>
      </c>
      <c r="M28" s="42">
        <f>SUMIFS(UCCo_IMC!O$3:O$35,UCCo_IMC!$C$3:$C$35,'Equipment Analysis'!$B28,UCCo_IMC!$D$3:$D$35,342)</f>
        <v>0</v>
      </c>
      <c r="N28" s="42">
        <f>SUMIFS(UCCo_IMC!P$3:P$35,UCCo_IMC!$C$3:$C$35,'Equipment Analysis'!$B28,UCCo_IMC!$D$3:$D$35,342)</f>
        <v>0</v>
      </c>
      <c r="O28" s="36">
        <f>SUM(C28:N28)</f>
        <v>211806.89</v>
      </c>
      <c r="Q28" s="43">
        <f>+C28/C$51</f>
        <v>1.5622455797890313</v>
      </c>
      <c r="R28" s="43">
        <f>IFERROR(D28/D$51,0)</f>
        <v>1.4613210349409835</v>
      </c>
      <c r="S28" s="43">
        <f t="shared" ref="S28:AB28" si="27">IFERROR(E28/E$51,0)</f>
        <v>1.989476366283605</v>
      </c>
      <c r="T28" s="43">
        <f t="shared" si="27"/>
        <v>1.1680383622847899</v>
      </c>
      <c r="U28" s="43">
        <f t="shared" si="27"/>
        <v>1.7754878427958458</v>
      </c>
      <c r="V28" s="43">
        <f t="shared" si="27"/>
        <v>1.201697243082507</v>
      </c>
      <c r="W28" s="43">
        <f t="shared" si="27"/>
        <v>1.0986218320591807</v>
      </c>
      <c r="X28" s="43">
        <f t="shared" si="27"/>
        <v>4.2155301269443948</v>
      </c>
      <c r="Y28" s="43">
        <f t="shared" si="27"/>
        <v>3.2303464377890641</v>
      </c>
      <c r="Z28" s="43">
        <f t="shared" si="27"/>
        <v>3.5804922224589824</v>
      </c>
      <c r="AA28" s="43">
        <f t="shared" si="27"/>
        <v>0</v>
      </c>
      <c r="AB28" s="43">
        <f t="shared" si="27"/>
        <v>0</v>
      </c>
      <c r="AC28" s="43">
        <f>+O28/O$51</f>
        <v>2.0523650994168006</v>
      </c>
    </row>
    <row r="29" spans="1:29" ht="13.5" thickBot="1" x14ac:dyDescent="0.25">
      <c r="A29" s="41" t="s">
        <v>53</v>
      </c>
      <c r="B29" s="41" t="s">
        <v>21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1800</v>
      </c>
      <c r="J29" s="11">
        <v>-1800</v>
      </c>
      <c r="K29" s="11">
        <v>0</v>
      </c>
      <c r="L29" s="11" t="s">
        <v>71</v>
      </c>
      <c r="M29" s="42">
        <f>SUMIFS(UCCo_IMC!O$3:O$35,UCCo_IMC!$C$3:$C$35,'Equipment Analysis'!$B29,UCCo_IMC!$D$3:$D$35,341)</f>
        <v>0</v>
      </c>
      <c r="N29" s="42">
        <f>SUMIFS(UCCo_IMC!P$3:P$35,UCCo_IMC!$C$3:$C$35,'Equipment Analysis'!$B29,UCCo_IMC!$D$3:$D$35,341)</f>
        <v>0</v>
      </c>
      <c r="O29" s="36">
        <f t="shared" ref="O29:O38" si="28">SUM(C29:N29)</f>
        <v>0</v>
      </c>
      <c r="Q29" s="43">
        <f t="shared" ref="Q29:Q38" si="29">+C29/C$51</f>
        <v>0</v>
      </c>
      <c r="R29" s="43">
        <f t="shared" ref="R29:R38" si="30">IFERROR(D29/D$51,0)</f>
        <v>0</v>
      </c>
      <c r="S29" s="43">
        <f t="shared" ref="S29:S38" si="31">IFERROR(E29/E$51,0)</f>
        <v>0</v>
      </c>
      <c r="T29" s="43">
        <f t="shared" ref="T29:T38" si="32">IFERROR(F29/F$51,0)</f>
        <v>0</v>
      </c>
      <c r="U29" s="43">
        <f t="shared" ref="U29:U38" si="33">IFERROR(G29/G$51,0)</f>
        <v>0</v>
      </c>
      <c r="V29" s="43">
        <f t="shared" ref="V29:V38" si="34">IFERROR(H29/H$51,0)</f>
        <v>0</v>
      </c>
      <c r="W29" s="43">
        <f t="shared" ref="W29:W38" si="35">IFERROR(I29/I$51,0)</f>
        <v>0.15893787118615324</v>
      </c>
      <c r="X29" s="43">
        <f t="shared" ref="X29:X38" si="36">IFERROR(J29/J$51,0)</f>
        <v>-0.21455390666905061</v>
      </c>
      <c r="Y29" s="43">
        <f t="shared" ref="Y29:Y38" si="37">IFERROR(K29/K$51,0)</f>
        <v>0</v>
      </c>
      <c r="Z29" s="43">
        <f t="shared" ref="Z29:Z38" si="38">IFERROR(L29/L$51,0)</f>
        <v>0</v>
      </c>
      <c r="AA29" s="43">
        <f t="shared" ref="AA29:AA38" si="39">IFERROR(M29/M$51,0)</f>
        <v>0</v>
      </c>
      <c r="AB29" s="43">
        <f t="shared" ref="AB29:AB38" si="40">IFERROR(N29/N$51,0)</f>
        <v>0</v>
      </c>
      <c r="AC29" s="43">
        <f t="shared" ref="AC29:AC38" si="41">+O29/O$51</f>
        <v>0</v>
      </c>
    </row>
    <row r="30" spans="1:29" ht="13.5" thickBot="1" x14ac:dyDescent="0.25">
      <c r="A30" s="41" t="s">
        <v>54</v>
      </c>
      <c r="B30" s="41" t="s">
        <v>22</v>
      </c>
      <c r="C30" s="11">
        <v>11107.29</v>
      </c>
      <c r="D30" s="11">
        <v>12569.36</v>
      </c>
      <c r="E30" s="11">
        <v>9336.73</v>
      </c>
      <c r="F30" s="11">
        <v>16817.3</v>
      </c>
      <c r="G30" s="11">
        <v>16846.490000000002</v>
      </c>
      <c r="H30" s="11">
        <v>10893.97</v>
      </c>
      <c r="I30" s="11">
        <v>14078.66</v>
      </c>
      <c r="J30" s="11">
        <v>10285.31</v>
      </c>
      <c r="K30" s="11">
        <v>10470.57</v>
      </c>
      <c r="L30" s="11">
        <v>20139.22</v>
      </c>
      <c r="M30" s="42">
        <f>SUMIFS(UCCo_IMC!O$3:O$35,UCCo_IMC!$C$3:$C$35,'Equipment Analysis'!$B30,UCCo_IMC!$D$3:$D$35,342)</f>
        <v>0</v>
      </c>
      <c r="N30" s="42">
        <f>SUMIFS(UCCo_IMC!P$3:P$35,UCCo_IMC!$C$3:$C$35,'Equipment Analysis'!$B30,UCCo_IMC!$D$3:$D$35,342)</f>
        <v>0</v>
      </c>
      <c r="O30" s="36">
        <f t="shared" si="28"/>
        <v>132544.90000000002</v>
      </c>
      <c r="Q30" s="43">
        <f t="shared" si="29"/>
        <v>0.83391193363114235</v>
      </c>
      <c r="R30" s="43">
        <f t="shared" si="30"/>
        <v>1.3100247531201961</v>
      </c>
      <c r="S30" s="43">
        <f t="shared" si="31"/>
        <v>0.97100826790078509</v>
      </c>
      <c r="T30" s="43">
        <f t="shared" si="32"/>
        <v>1.2954820321226359</v>
      </c>
      <c r="U30" s="43">
        <f t="shared" si="33"/>
        <v>2.0952042783408995</v>
      </c>
      <c r="V30" s="43">
        <f t="shared" si="34"/>
        <v>1.1438824068007332</v>
      </c>
      <c r="W30" s="43">
        <f t="shared" si="35"/>
        <v>1.2431290275298044</v>
      </c>
      <c r="X30" s="43">
        <f t="shared" si="36"/>
        <v>1.2259741343345849</v>
      </c>
      <c r="Y30" s="43">
        <f t="shared" si="37"/>
        <v>0.93379012537255957</v>
      </c>
      <c r="Z30" s="43">
        <f t="shared" si="38"/>
        <v>2.189454985062425</v>
      </c>
      <c r="AA30" s="43">
        <f t="shared" si="39"/>
        <v>0</v>
      </c>
      <c r="AB30" s="43">
        <f t="shared" si="40"/>
        <v>0</v>
      </c>
      <c r="AC30" s="43">
        <f t="shared" si="41"/>
        <v>1.2843327564353073</v>
      </c>
    </row>
    <row r="31" spans="1:29" ht="13.5" thickBot="1" x14ac:dyDescent="0.25">
      <c r="A31" s="41" t="s">
        <v>55</v>
      </c>
      <c r="B31" s="41" t="s">
        <v>23</v>
      </c>
      <c r="C31" s="11">
        <v>52346.49</v>
      </c>
      <c r="D31" s="11">
        <v>52176.61</v>
      </c>
      <c r="E31" s="11">
        <v>52346.48</v>
      </c>
      <c r="F31" s="11">
        <v>52413.13</v>
      </c>
      <c r="G31" s="11">
        <v>52601.2</v>
      </c>
      <c r="H31" s="11">
        <v>52536.26</v>
      </c>
      <c r="I31" s="11">
        <v>52199.62</v>
      </c>
      <c r="J31" s="11">
        <v>52199.64</v>
      </c>
      <c r="K31" s="11">
        <v>52147.73</v>
      </c>
      <c r="L31" s="11">
        <v>52199.66</v>
      </c>
      <c r="M31" s="42">
        <f>SUMIFS(UCCo_IMC!O$3:O$35,UCCo_IMC!$C$3:$C$35,'Equipment Analysis'!$B31,UCCo_IMC!$D$3:$D$35,342)</f>
        <v>0</v>
      </c>
      <c r="N31" s="42">
        <f>SUMIFS(UCCo_IMC!P$3:P$35,UCCo_IMC!$C$3:$C$35,'Equipment Analysis'!$B31,UCCo_IMC!$D$3:$D$35,342)</f>
        <v>0</v>
      </c>
      <c r="O31" s="36">
        <f t="shared" si="28"/>
        <v>523166.82000000007</v>
      </c>
      <c r="Q31" s="43">
        <f t="shared" si="29"/>
        <v>3.9300641915987837</v>
      </c>
      <c r="R31" s="43">
        <f t="shared" si="30"/>
        <v>5.4380374684072015</v>
      </c>
      <c r="S31" s="43">
        <f t="shared" si="31"/>
        <v>5.4439685923768915</v>
      </c>
      <c r="T31" s="43">
        <f t="shared" si="32"/>
        <v>4.0375249393367483</v>
      </c>
      <c r="U31" s="43">
        <f t="shared" si="33"/>
        <v>6.5420309682233686</v>
      </c>
      <c r="V31" s="43">
        <f t="shared" si="34"/>
        <v>5.5163823227995943</v>
      </c>
      <c r="W31" s="43">
        <f t="shared" si="35"/>
        <v>4.6091647108478604</v>
      </c>
      <c r="X31" s="43">
        <f t="shared" si="36"/>
        <v>6.2220203826211335</v>
      </c>
      <c r="Y31" s="43">
        <f t="shared" si="37"/>
        <v>4.6506575415277673</v>
      </c>
      <c r="Z31" s="43">
        <f t="shared" si="38"/>
        <v>5.6749370534491241</v>
      </c>
      <c r="AA31" s="43">
        <f t="shared" si="39"/>
        <v>0</v>
      </c>
      <c r="AB31" s="43">
        <f t="shared" si="40"/>
        <v>0</v>
      </c>
      <c r="AC31" s="43">
        <f t="shared" si="41"/>
        <v>5.0693786332487649</v>
      </c>
    </row>
    <row r="32" spans="1:29" ht="13.5" thickBot="1" x14ac:dyDescent="0.25">
      <c r="A32" s="41" t="s">
        <v>56</v>
      </c>
      <c r="B32" s="41" t="s">
        <v>24</v>
      </c>
      <c r="C32" s="11">
        <v>33098.49</v>
      </c>
      <c r="D32" s="11">
        <v>81670.899999999994</v>
      </c>
      <c r="E32" s="11">
        <v>66954.33</v>
      </c>
      <c r="F32" s="11">
        <v>23213.119999999999</v>
      </c>
      <c r="G32" s="11">
        <v>36256.1</v>
      </c>
      <c r="H32" s="11">
        <v>59153.49</v>
      </c>
      <c r="I32" s="11">
        <v>74106.429999999993</v>
      </c>
      <c r="J32" s="11">
        <v>32739.200000000001</v>
      </c>
      <c r="K32" s="11">
        <v>73521.489999999991</v>
      </c>
      <c r="L32" s="11">
        <v>-24445.13</v>
      </c>
      <c r="M32" s="42">
        <f>SUMIFS(UCCo_IMC!O$3:O$35,UCCo_IMC!$C$3:$C$35,'Equipment Analysis'!$B32,UCCo_IMC!$D$3:$D$35,342)</f>
        <v>0</v>
      </c>
      <c r="N32" s="42">
        <f>SUMIFS(UCCo_IMC!P$3:P$35,UCCo_IMC!$C$3:$C$35,'Equipment Analysis'!$B32,UCCo_IMC!$D$3:$D$35,342)</f>
        <v>0</v>
      </c>
      <c r="O32" s="36">
        <f t="shared" si="28"/>
        <v>456268.42</v>
      </c>
      <c r="Q32" s="43">
        <f t="shared" si="29"/>
        <v>2.4849649010848753</v>
      </c>
      <c r="R32" s="43">
        <f t="shared" si="30"/>
        <v>8.5120404387816251</v>
      </c>
      <c r="S32" s="43">
        <f t="shared" si="31"/>
        <v>6.9631667619988562</v>
      </c>
      <c r="T32" s="43">
        <f t="shared" si="32"/>
        <v>1.7881693178754381</v>
      </c>
      <c r="U32" s="43">
        <f t="shared" si="33"/>
        <v>4.5091847521920281</v>
      </c>
      <c r="V32" s="43">
        <f t="shared" si="34"/>
        <v>6.2112009223325479</v>
      </c>
      <c r="W32" s="43">
        <f t="shared" si="35"/>
        <v>6.543510125225378</v>
      </c>
      <c r="X32" s="43">
        <f t="shared" si="36"/>
        <v>3.9024018117885455</v>
      </c>
      <c r="Y32" s="43">
        <f t="shared" si="37"/>
        <v>6.5568198641217608</v>
      </c>
      <c r="Z32" s="43">
        <f t="shared" si="38"/>
        <v>-2.6575761990285143</v>
      </c>
      <c r="AA32" s="43">
        <f t="shared" si="39"/>
        <v>0</v>
      </c>
      <c r="AB32" s="43">
        <f t="shared" si="40"/>
        <v>0</v>
      </c>
      <c r="AC32" s="43">
        <f t="shared" si="41"/>
        <v>4.4211469285727505</v>
      </c>
    </row>
    <row r="33" spans="1:29" ht="13.5" thickBot="1" x14ac:dyDescent="0.25">
      <c r="A33" s="41" t="s">
        <v>57</v>
      </c>
      <c r="B33" s="41" t="s">
        <v>31</v>
      </c>
      <c r="C33" s="11">
        <v>2374.48</v>
      </c>
      <c r="D33" s="11">
        <v>40321.980000000003</v>
      </c>
      <c r="E33" s="11">
        <v>-8599.39</v>
      </c>
      <c r="F33" s="11">
        <v>28817.119999999999</v>
      </c>
      <c r="G33" s="11">
        <v>-41585.599999999999</v>
      </c>
      <c r="H33" s="11">
        <v>1854.94</v>
      </c>
      <c r="I33" s="11">
        <v>-13756.75</v>
      </c>
      <c r="J33" s="11">
        <v>1203.8499999999999</v>
      </c>
      <c r="K33" s="11">
        <v>0</v>
      </c>
      <c r="L33" s="11">
        <v>682.59</v>
      </c>
      <c r="M33" s="42">
        <f>SUMIFS(UCCo_IMC!O$3:O$35,UCCo_IMC!$C$3:$C$35,'Equipment Analysis'!$B33,UCCo_IMC!$D$3:$D$35,342)</f>
        <v>0</v>
      </c>
      <c r="N33" s="42">
        <f>SUMIFS(UCCo_IMC!P$3:P$35,UCCo_IMC!$C$3:$C$35,'Equipment Analysis'!$B33,UCCo_IMC!$D$3:$D$35,342)</f>
        <v>0</v>
      </c>
      <c r="O33" s="36">
        <f t="shared" si="28"/>
        <v>11313.220000000003</v>
      </c>
      <c r="Q33" s="43">
        <f t="shared" si="29"/>
        <v>0.17827095611697136</v>
      </c>
      <c r="R33" s="43">
        <f t="shared" si="30"/>
        <v>4.2025044946455097</v>
      </c>
      <c r="S33" s="43">
        <f t="shared" si="31"/>
        <v>-0.89432582809006289</v>
      </c>
      <c r="T33" s="43">
        <f t="shared" si="32"/>
        <v>2.2198605708123096</v>
      </c>
      <c r="U33" s="43">
        <f t="shared" si="33"/>
        <v>-5.1720166656302471</v>
      </c>
      <c r="V33" s="43">
        <f t="shared" si="34"/>
        <v>0.19477134889034506</v>
      </c>
      <c r="W33" s="43">
        <f t="shared" si="35"/>
        <v>-1.2147047552445074</v>
      </c>
      <c r="X33" s="43">
        <f t="shared" si="36"/>
        <v>0.14349484474640919</v>
      </c>
      <c r="Y33" s="43">
        <f t="shared" si="37"/>
        <v>0</v>
      </c>
      <c r="Z33" s="43">
        <f t="shared" si="38"/>
        <v>7.4208438969024654E-2</v>
      </c>
      <c r="AA33" s="43">
        <f t="shared" si="39"/>
        <v>0</v>
      </c>
      <c r="AB33" s="43">
        <f t="shared" si="40"/>
        <v>0</v>
      </c>
      <c r="AC33" s="43">
        <f t="shared" si="41"/>
        <v>0.10962276954269118</v>
      </c>
    </row>
    <row r="34" spans="1:29" ht="13.5" thickBot="1" x14ac:dyDescent="0.25">
      <c r="A34" s="41" t="s">
        <v>58</v>
      </c>
      <c r="B34" s="41" t="s">
        <v>40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3649.54</v>
      </c>
      <c r="K34" s="11">
        <v>171.96</v>
      </c>
      <c r="L34" s="11">
        <v>926.71</v>
      </c>
      <c r="M34" s="42">
        <f>SUMIFS(UCCo_IMC!O$3:O$35,UCCo_IMC!$C$3:$C$35,'Equipment Analysis'!$B34,UCCo_IMC!$D$3:$D$35,341)</f>
        <v>0</v>
      </c>
      <c r="N34" s="42">
        <f>SUMIFS(UCCo_IMC!P$3:P$35,UCCo_IMC!$C$3:$C$35,'Equipment Analysis'!$B34,UCCo_IMC!$D$3:$D$35,341)</f>
        <v>0</v>
      </c>
      <c r="O34" s="36">
        <f t="shared" si="28"/>
        <v>4748.21</v>
      </c>
      <c r="Q34" s="43">
        <f t="shared" si="29"/>
        <v>0</v>
      </c>
      <c r="R34" s="43">
        <f t="shared" si="30"/>
        <v>0</v>
      </c>
      <c r="S34" s="43">
        <f t="shared" si="31"/>
        <v>0</v>
      </c>
      <c r="T34" s="43">
        <f t="shared" si="32"/>
        <v>0</v>
      </c>
      <c r="U34" s="43">
        <f t="shared" si="33"/>
        <v>0</v>
      </c>
      <c r="V34" s="43">
        <f t="shared" si="34"/>
        <v>0</v>
      </c>
      <c r="W34" s="43">
        <f t="shared" si="35"/>
        <v>0</v>
      </c>
      <c r="X34" s="43">
        <f t="shared" si="36"/>
        <v>0.43501281363609273</v>
      </c>
      <c r="Y34" s="43">
        <f t="shared" si="37"/>
        <v>1.5335798333716824E-2</v>
      </c>
      <c r="Z34" s="43">
        <f t="shared" si="38"/>
        <v>0.10074818335601875</v>
      </c>
      <c r="AA34" s="43">
        <f t="shared" si="39"/>
        <v>0</v>
      </c>
      <c r="AB34" s="43">
        <f t="shared" si="40"/>
        <v>0</v>
      </c>
      <c r="AC34" s="43">
        <f t="shared" si="41"/>
        <v>4.6009176040976978E-2</v>
      </c>
    </row>
    <row r="35" spans="1:29" ht="13.5" thickBot="1" x14ac:dyDescent="0.25">
      <c r="A35" s="41" t="s">
        <v>60</v>
      </c>
      <c r="B35" s="41" t="s">
        <v>25</v>
      </c>
      <c r="C35" s="11">
        <v>15160.62</v>
      </c>
      <c r="D35" s="11">
        <v>16398.61</v>
      </c>
      <c r="E35" s="11">
        <v>16404.62</v>
      </c>
      <c r="F35" s="11">
        <v>16404.61</v>
      </c>
      <c r="G35" s="11">
        <v>16404.62</v>
      </c>
      <c r="H35" s="11">
        <v>16406.86</v>
      </c>
      <c r="I35" s="11">
        <v>16405.740000000002</v>
      </c>
      <c r="J35" s="11">
        <v>16405.740000000002</v>
      </c>
      <c r="K35" s="11">
        <v>16405.739999999998</v>
      </c>
      <c r="L35" s="11">
        <v>16418.29</v>
      </c>
      <c r="M35" s="42">
        <f>SUMIFS(UCCo_IMC!O$3:O$35,UCCo_IMC!$C$3:$C$35,'Equipment Analysis'!$B35,UCCo_IMC!$D$3:$D$35,342)</f>
        <v>0</v>
      </c>
      <c r="N35" s="42">
        <f>SUMIFS(UCCo_IMC!P$3:P$35,UCCo_IMC!$C$3:$C$35,'Equipment Analysis'!$B35,UCCo_IMC!$D$3:$D$35,342)</f>
        <v>0</v>
      </c>
      <c r="O35" s="36">
        <f t="shared" si="28"/>
        <v>162815.45000000001</v>
      </c>
      <c r="Q35" s="43">
        <f t="shared" si="29"/>
        <v>1.138227410938849</v>
      </c>
      <c r="R35" s="43">
        <f t="shared" si="30"/>
        <v>1.7091232184267438</v>
      </c>
      <c r="S35" s="43">
        <f t="shared" si="31"/>
        <v>1.7060600072799126</v>
      </c>
      <c r="T35" s="43">
        <f t="shared" si="32"/>
        <v>1.2636914070022724</v>
      </c>
      <c r="U35" s="43">
        <f t="shared" si="33"/>
        <v>2.0402487407499534</v>
      </c>
      <c r="V35" s="43">
        <f t="shared" si="34"/>
        <v>1.7227437293147201</v>
      </c>
      <c r="W35" s="43">
        <f t="shared" si="35"/>
        <v>1.4486074393519566</v>
      </c>
      <c r="X35" s="43">
        <f t="shared" si="36"/>
        <v>1.955508671553728</v>
      </c>
      <c r="Y35" s="43">
        <f t="shared" si="37"/>
        <v>1.4631025828994615</v>
      </c>
      <c r="Z35" s="43">
        <f t="shared" si="38"/>
        <v>1.7849304435177014</v>
      </c>
      <c r="AA35" s="43">
        <f t="shared" si="39"/>
        <v>0</v>
      </c>
      <c r="AB35" s="43">
        <f t="shared" si="40"/>
        <v>0</v>
      </c>
      <c r="AC35" s="43">
        <f t="shared" si="41"/>
        <v>1.577648145562409</v>
      </c>
    </row>
    <row r="36" spans="1:29" ht="13.5" thickBot="1" x14ac:dyDescent="0.25">
      <c r="A36" s="41" t="s">
        <v>61</v>
      </c>
      <c r="B36" s="41" t="s">
        <v>32</v>
      </c>
      <c r="C36" s="11">
        <v>4749.0600000000004</v>
      </c>
      <c r="D36" s="11">
        <v>1400.99</v>
      </c>
      <c r="E36" s="11">
        <v>15656</v>
      </c>
      <c r="F36" s="11">
        <v>8416.9500000000007</v>
      </c>
      <c r="G36" s="11">
        <v>2064.1</v>
      </c>
      <c r="H36" s="11">
        <v>5301.15</v>
      </c>
      <c r="I36" s="11">
        <v>7957.66</v>
      </c>
      <c r="J36" s="11">
        <v>3177.31</v>
      </c>
      <c r="K36" s="11">
        <v>10468.35</v>
      </c>
      <c r="L36" s="11">
        <v>7348.85</v>
      </c>
      <c r="M36" s="42">
        <f>SUMIFS(UCCo_IMC!O$3:O$35,UCCo_IMC!$C$3:$C$35,'Equipment Analysis'!$B36,UCCo_IMC!$D$3:$D$35,342)</f>
        <v>0</v>
      </c>
      <c r="N36" s="42">
        <f>SUMIFS(UCCo_IMC!P$3:P$35,UCCo_IMC!$C$3:$C$35,'Equipment Analysis'!$B36,UCCo_IMC!$D$3:$D$35,342)</f>
        <v>0</v>
      </c>
      <c r="O36" s="36">
        <f t="shared" si="28"/>
        <v>66540.42</v>
      </c>
      <c r="Q36" s="43">
        <f t="shared" si="29"/>
        <v>0.35654942002327417</v>
      </c>
      <c r="R36" s="43">
        <f t="shared" si="30"/>
        <v>0.14601631100341333</v>
      </c>
      <c r="S36" s="43">
        <f t="shared" si="31"/>
        <v>1.6282044615464615</v>
      </c>
      <c r="T36" s="43">
        <f t="shared" si="32"/>
        <v>0.64838038747448301</v>
      </c>
      <c r="U36" s="43">
        <f t="shared" si="33"/>
        <v>0.25671289098936634</v>
      </c>
      <c r="V36" s="43">
        <f t="shared" si="34"/>
        <v>0.5566283201451544</v>
      </c>
      <c r="W36" s="43">
        <f t="shared" si="35"/>
        <v>0.70265196667955776</v>
      </c>
      <c r="X36" s="43">
        <f t="shared" si="36"/>
        <v>0.37872459622146731</v>
      </c>
      <c r="Y36" s="43">
        <f t="shared" si="37"/>
        <v>0.93359214053712791</v>
      </c>
      <c r="Z36" s="43">
        <f t="shared" si="38"/>
        <v>0.79893741003752894</v>
      </c>
      <c r="AA36" s="43">
        <f t="shared" si="39"/>
        <v>0</v>
      </c>
      <c r="AB36" s="43">
        <f t="shared" si="40"/>
        <v>0</v>
      </c>
      <c r="AC36" s="43">
        <f t="shared" si="41"/>
        <v>0.64476295227476144</v>
      </c>
    </row>
    <row r="37" spans="1:29" ht="13.5" thickBot="1" x14ac:dyDescent="0.25">
      <c r="A37" s="41" t="s">
        <v>62</v>
      </c>
      <c r="B37" s="41" t="s">
        <v>33</v>
      </c>
      <c r="C37" s="11">
        <v>-2593.98</v>
      </c>
      <c r="D37" s="11">
        <v>-27233.14</v>
      </c>
      <c r="E37" s="11">
        <v>-2856.65</v>
      </c>
      <c r="F37" s="11">
        <v>-27994.93</v>
      </c>
      <c r="G37" s="11">
        <v>66441.350000000006</v>
      </c>
      <c r="H37" s="11">
        <v>1437.9199999999983</v>
      </c>
      <c r="I37" s="11">
        <v>3772.14</v>
      </c>
      <c r="J37" s="11">
        <v>7783.43</v>
      </c>
      <c r="K37" s="11">
        <v>6032.63</v>
      </c>
      <c r="L37" s="11">
        <v>7850.5</v>
      </c>
      <c r="M37" s="42">
        <f>SUMIFS(UCCo_IMC!O$3:O$35,UCCo_IMC!$C$3:$C$35,'Equipment Analysis'!$B37,UCCo_IMC!$D$3:$D$35,342)</f>
        <v>0</v>
      </c>
      <c r="N37" s="42">
        <f>SUMIFS(UCCo_IMC!P$3:P$35,UCCo_IMC!$C$3:$C$35,'Equipment Analysis'!$B37,UCCo_IMC!$D$3:$D$35,342)</f>
        <v>0</v>
      </c>
      <c r="O37" s="36">
        <f t="shared" si="28"/>
        <v>32639.270000000008</v>
      </c>
      <c r="Q37" s="43">
        <f t="shared" si="29"/>
        <v>-0.1947505536994632</v>
      </c>
      <c r="R37" s="43">
        <f t="shared" si="30"/>
        <v>-2.8383376325594725</v>
      </c>
      <c r="S37" s="43">
        <f t="shared" si="31"/>
        <v>-0.29708803494358066</v>
      </c>
      <c r="T37" s="43">
        <f t="shared" si="32"/>
        <v>-2.1565250548857993</v>
      </c>
      <c r="U37" s="43">
        <f t="shared" si="33"/>
        <v>8.2633356134568761</v>
      </c>
      <c r="V37" s="43">
        <f t="shared" si="34"/>
        <v>0.15098365337768585</v>
      </c>
      <c r="W37" s="43">
        <f t="shared" si="35"/>
        <v>0.33307550078674225</v>
      </c>
      <c r="X37" s="43">
        <f t="shared" si="36"/>
        <v>0.92775850765838253</v>
      </c>
      <c r="Y37" s="43">
        <f t="shared" si="37"/>
        <v>0.53800417016707447</v>
      </c>
      <c r="Z37" s="43">
        <f t="shared" si="38"/>
        <v>0.85347478006757793</v>
      </c>
      <c r="AA37" s="43">
        <f t="shared" si="39"/>
        <v>0</v>
      </c>
      <c r="AB37" s="43">
        <f t="shared" si="40"/>
        <v>0</v>
      </c>
      <c r="AC37" s="43">
        <f t="shared" si="41"/>
        <v>0.31626779760772566</v>
      </c>
    </row>
    <row r="38" spans="1:29" x14ac:dyDescent="0.2">
      <c r="A38" s="41" t="s">
        <v>63</v>
      </c>
      <c r="B38" s="41" t="s">
        <v>26</v>
      </c>
      <c r="C38" s="70">
        <v>19462.93</v>
      </c>
      <c r="D38" s="70">
        <v>39299.57</v>
      </c>
      <c r="E38" s="70">
        <v>-6610.57</v>
      </c>
      <c r="F38" s="70">
        <v>0</v>
      </c>
      <c r="G38" s="70">
        <v>855.29</v>
      </c>
      <c r="H38" s="70">
        <v>0</v>
      </c>
      <c r="I38" s="70">
        <v>5746.83</v>
      </c>
      <c r="J38" s="70">
        <v>-3971.04</v>
      </c>
      <c r="K38" s="70">
        <v>2855.29</v>
      </c>
      <c r="L38" s="70">
        <v>1758.35</v>
      </c>
      <c r="M38" s="42">
        <f>SUMIFS(UCCo_IMC!O$3:O$35,UCCo_IMC!$C$3:$C$35,'Equipment Analysis'!$B38,UCCo_IMC!$D$3:$D$35,342)</f>
        <v>0</v>
      </c>
      <c r="N38" s="42">
        <f>SUMIFS(UCCo_IMC!P$3:P$35,UCCo_IMC!$C$3:$C$35,'Equipment Analysis'!$B38,UCCo_IMC!$D$3:$D$35,342)</f>
        <v>0</v>
      </c>
      <c r="O38" s="36">
        <f t="shared" si="28"/>
        <v>59396.65</v>
      </c>
      <c r="Q38" s="43">
        <f t="shared" si="29"/>
        <v>1.4612357821239537</v>
      </c>
      <c r="R38" s="43">
        <f t="shared" si="30"/>
        <v>4.0959451783527445</v>
      </c>
      <c r="S38" s="43">
        <f t="shared" si="31"/>
        <v>-0.68749103010763868</v>
      </c>
      <c r="T38" s="43">
        <f t="shared" si="32"/>
        <v>0</v>
      </c>
      <c r="U38" s="43">
        <f t="shared" si="33"/>
        <v>0.1063727380138051</v>
      </c>
      <c r="V38" s="43">
        <f t="shared" si="34"/>
        <v>0</v>
      </c>
      <c r="W38" s="43">
        <f t="shared" si="35"/>
        <v>0.50743829237151161</v>
      </c>
      <c r="X38" s="43">
        <f t="shared" si="36"/>
        <v>-0.4733345252994815</v>
      </c>
      <c r="Y38" s="43">
        <f t="shared" si="37"/>
        <v>0.25464149583785944</v>
      </c>
      <c r="Z38" s="43">
        <f t="shared" si="38"/>
        <v>0.19116073874680919</v>
      </c>
      <c r="AA38" s="43">
        <f t="shared" si="39"/>
        <v>0</v>
      </c>
      <c r="AB38" s="43">
        <f t="shared" si="40"/>
        <v>0</v>
      </c>
      <c r="AC38" s="43">
        <f t="shared" si="41"/>
        <v>0.57554129368631446</v>
      </c>
    </row>
    <row r="39" spans="1:29" ht="13.5" thickBot="1" x14ac:dyDescent="0.25">
      <c r="A39" s="41" t="s">
        <v>64</v>
      </c>
      <c r="C39" s="44">
        <f>SUM(C28:C38)</f>
        <v>156513.71</v>
      </c>
      <c r="D39" s="44">
        <f t="shared" ref="D39:M39" si="42">SUM(D28:D38)</f>
        <v>230625.89</v>
      </c>
      <c r="E39" s="44">
        <f t="shared" si="42"/>
        <v>161761.36000000002</v>
      </c>
      <c r="F39" s="44">
        <f t="shared" si="42"/>
        <v>133250.19</v>
      </c>
      <c r="G39" s="44">
        <f t="shared" si="42"/>
        <v>164159.36000000002</v>
      </c>
      <c r="H39" s="44">
        <f t="shared" si="42"/>
        <v>159029.16999999998</v>
      </c>
      <c r="I39" s="44">
        <f t="shared" si="42"/>
        <v>174752.41999999998</v>
      </c>
      <c r="J39" s="44">
        <f t="shared" si="42"/>
        <v>157039.16999999998</v>
      </c>
      <c r="K39" s="44">
        <f t="shared" si="42"/>
        <v>208295.57</v>
      </c>
      <c r="L39" s="44">
        <f t="shared" si="42"/>
        <v>115813.41</v>
      </c>
      <c r="M39" s="44">
        <f t="shared" si="42"/>
        <v>0</v>
      </c>
      <c r="N39" s="44">
        <f>SUM(N28:N38)</f>
        <v>0</v>
      </c>
      <c r="O39" s="44">
        <f t="shared" ref="O39" si="43">SUM(C39:N39)</f>
        <v>1661240.2499999998</v>
      </c>
      <c r="Q39" s="45">
        <f>+C39/C$51</f>
        <v>11.750719621607416</v>
      </c>
      <c r="R39" s="45">
        <f t="shared" ref="R39:AB39" si="44">IFERROR(D39/D$51,0)</f>
        <v>24.036675265118948</v>
      </c>
      <c r="S39" s="45">
        <f t="shared" si="44"/>
        <v>16.82297956424523</v>
      </c>
      <c r="T39" s="45">
        <f t="shared" si="44"/>
        <v>10.264621962022879</v>
      </c>
      <c r="U39" s="45">
        <f t="shared" si="44"/>
        <v>20.416561159131895</v>
      </c>
      <c r="V39" s="45">
        <f t="shared" si="44"/>
        <v>16.698289946743287</v>
      </c>
      <c r="W39" s="45">
        <f t="shared" si="44"/>
        <v>15.430432010793636</v>
      </c>
      <c r="X39" s="45">
        <f t="shared" si="44"/>
        <v>18.718537457536204</v>
      </c>
      <c r="Y39" s="45">
        <f t="shared" si="44"/>
        <v>18.576290156586392</v>
      </c>
      <c r="Z39" s="45">
        <f t="shared" si="44"/>
        <v>12.590768056636678</v>
      </c>
      <c r="AA39" s="45">
        <f t="shared" si="44"/>
        <v>0</v>
      </c>
      <c r="AB39" s="45">
        <f t="shared" si="44"/>
        <v>0</v>
      </c>
      <c r="AC39" s="45">
        <f>+O39/O$51</f>
        <v>16.0970755523885</v>
      </c>
    </row>
    <row r="40" spans="1:29" ht="13.5" thickTop="1" x14ac:dyDescent="0.2"/>
    <row r="42" spans="1:29" customFormat="1" ht="12.75" customHeight="1" x14ac:dyDescent="0.2">
      <c r="A42" s="41" t="s">
        <v>38</v>
      </c>
      <c r="B42" s="35"/>
    </row>
    <row r="43" spans="1:29" customFormat="1" ht="12.75" customHeight="1" x14ac:dyDescent="0.2">
      <c r="A43" s="41" t="s">
        <v>36</v>
      </c>
      <c r="B43" s="35"/>
      <c r="C43" s="42">
        <v>6975.14</v>
      </c>
      <c r="D43" s="42">
        <v>6250.15</v>
      </c>
      <c r="E43" s="42">
        <v>5755.25</v>
      </c>
      <c r="F43" s="42">
        <v>5600.98</v>
      </c>
      <c r="G43" s="42">
        <v>6669.72</v>
      </c>
      <c r="H43" s="42">
        <v>4951.28</v>
      </c>
      <c r="I43" s="42">
        <v>8390.1699999999983</v>
      </c>
      <c r="J43" s="42">
        <v>5201.3800000000047</v>
      </c>
      <c r="K43" s="42">
        <v>5303.64</v>
      </c>
      <c r="L43" s="42">
        <v>6087.42</v>
      </c>
      <c r="M43" s="42"/>
      <c r="N43" s="42"/>
      <c r="O43" s="36">
        <f>SUM(C43:N43)</f>
        <v>61185.130000000005</v>
      </c>
      <c r="P43" s="35"/>
      <c r="Q43" s="35"/>
      <c r="T43" s="32"/>
    </row>
    <row r="44" spans="1:29" customFormat="1" ht="12.75" customHeight="1" x14ac:dyDescent="0.2">
      <c r="A44" s="41" t="s">
        <v>37</v>
      </c>
      <c r="B44" s="35"/>
      <c r="C44" s="42">
        <v>204</v>
      </c>
      <c r="D44" s="42">
        <v>157</v>
      </c>
      <c r="E44" s="42">
        <v>160</v>
      </c>
      <c r="F44" s="42">
        <v>167</v>
      </c>
      <c r="G44" s="42">
        <v>160</v>
      </c>
      <c r="H44" s="42">
        <v>171</v>
      </c>
      <c r="I44" s="42">
        <v>160</v>
      </c>
      <c r="J44" s="42">
        <v>160</v>
      </c>
      <c r="K44" s="42">
        <v>574</v>
      </c>
      <c r="L44" s="42">
        <v>656</v>
      </c>
      <c r="M44" s="42"/>
      <c r="N44" s="42"/>
      <c r="O44" s="36">
        <f t="shared" ref="O44" si="45">SUM(C44:N44)</f>
        <v>2569</v>
      </c>
      <c r="P44" s="35"/>
      <c r="Q44" s="35"/>
      <c r="T44" s="32"/>
    </row>
    <row r="45" spans="1:29" customFormat="1" ht="12.75" customHeight="1" thickBot="1" x14ac:dyDescent="0.25">
      <c r="A45" s="41" t="s">
        <v>39</v>
      </c>
      <c r="B45" s="35"/>
      <c r="C45" s="44">
        <f t="shared" ref="C45:O45" si="46">SUM(C43:C44)</f>
        <v>7179.14</v>
      </c>
      <c r="D45" s="44">
        <f t="shared" si="46"/>
        <v>6407.15</v>
      </c>
      <c r="E45" s="44">
        <f t="shared" si="46"/>
        <v>5915.25</v>
      </c>
      <c r="F45" s="44">
        <f t="shared" si="46"/>
        <v>5767.98</v>
      </c>
      <c r="G45" s="44">
        <f t="shared" si="46"/>
        <v>6829.72</v>
      </c>
      <c r="H45" s="44">
        <f t="shared" si="46"/>
        <v>5122.28</v>
      </c>
      <c r="I45" s="44">
        <f t="shared" si="46"/>
        <v>8550.1699999999983</v>
      </c>
      <c r="J45" s="44">
        <f t="shared" si="46"/>
        <v>5361.3800000000047</v>
      </c>
      <c r="K45" s="44">
        <f t="shared" si="46"/>
        <v>5877.64</v>
      </c>
      <c r="L45" s="44">
        <f t="shared" si="46"/>
        <v>6743.42</v>
      </c>
      <c r="M45" s="44">
        <f t="shared" si="46"/>
        <v>0</v>
      </c>
      <c r="N45" s="44">
        <f t="shared" si="46"/>
        <v>0</v>
      </c>
      <c r="O45" s="44">
        <f t="shared" si="46"/>
        <v>63754.130000000005</v>
      </c>
      <c r="P45" s="35"/>
      <c r="Q45" s="35"/>
    </row>
    <row r="46" spans="1:29" customFormat="1" ht="12.75" customHeight="1" thickTop="1" x14ac:dyDescent="0.2"/>
    <row r="48" spans="1:29" outlineLevel="1" x14ac:dyDescent="0.2">
      <c r="A48" s="67" t="s">
        <v>66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</row>
    <row r="49" spans="1:18" ht="13.5" outlineLevel="1" thickBot="1" x14ac:dyDescent="0.25">
      <c r="C49" s="46" t="s">
        <v>4</v>
      </c>
      <c r="D49" s="46" t="s">
        <v>5</v>
      </c>
      <c r="E49" s="46" t="s">
        <v>6</v>
      </c>
      <c r="F49" s="46" t="s">
        <v>7</v>
      </c>
      <c r="G49" s="46" t="s">
        <v>8</v>
      </c>
      <c r="H49" s="46" t="s">
        <v>9</v>
      </c>
      <c r="I49" s="46" t="s">
        <v>10</v>
      </c>
      <c r="J49" s="46" t="s">
        <v>11</v>
      </c>
      <c r="K49" s="46" t="s">
        <v>12</v>
      </c>
      <c r="L49" s="46" t="s">
        <v>13</v>
      </c>
      <c r="M49" s="46" t="s">
        <v>14</v>
      </c>
      <c r="N49" s="47" t="s">
        <v>15</v>
      </c>
      <c r="O49" s="46" t="s">
        <v>50</v>
      </c>
    </row>
    <row r="50" spans="1:18" outlineLevel="1" x14ac:dyDescent="0.2">
      <c r="A50" s="41" t="s">
        <v>36</v>
      </c>
      <c r="C50" s="36">
        <f>+C58</f>
        <v>46832.5</v>
      </c>
      <c r="D50" s="36">
        <f>IF(D$62=0,0,D58-C58)</f>
        <v>29660</v>
      </c>
      <c r="E50" s="36">
        <f t="shared" ref="E50:N50" si="47">IF(E$62=0,0,E58-D58)</f>
        <v>33784.740000000005</v>
      </c>
      <c r="F50" s="36">
        <f t="shared" si="47"/>
        <v>41821.360000000001</v>
      </c>
      <c r="G50" s="36">
        <f t="shared" si="47"/>
        <v>33374.109999999986</v>
      </c>
      <c r="H50" s="36">
        <f t="shared" si="47"/>
        <v>29421.830000000016</v>
      </c>
      <c r="I50" s="36">
        <f t="shared" si="47"/>
        <v>47870.810000000027</v>
      </c>
      <c r="J50" s="36">
        <f t="shared" si="47"/>
        <v>44494.25</v>
      </c>
      <c r="K50" s="36">
        <f t="shared" si="47"/>
        <v>56126.754999999946</v>
      </c>
      <c r="L50" s="36">
        <f t="shared" si="47"/>
        <v>45329.645000000019</v>
      </c>
      <c r="M50" s="36">
        <f t="shared" si="47"/>
        <v>0</v>
      </c>
      <c r="N50" s="36">
        <f t="shared" si="47"/>
        <v>0</v>
      </c>
      <c r="O50" s="36">
        <f>SUM(C50:N50)</f>
        <v>408716</v>
      </c>
    </row>
    <row r="51" spans="1:18" outlineLevel="1" x14ac:dyDescent="0.2">
      <c r="A51" s="41" t="s">
        <v>37</v>
      </c>
      <c r="C51" s="36">
        <f t="shared" ref="C51:C53" si="48">+C59</f>
        <v>13319.5</v>
      </c>
      <c r="D51" s="36">
        <f t="shared" ref="D51:N53" si="49">IF(D$62=0,0,D59-C59)</f>
        <v>9594.75</v>
      </c>
      <c r="E51" s="36">
        <f t="shared" si="49"/>
        <v>9615.5</v>
      </c>
      <c r="F51" s="36">
        <f t="shared" si="49"/>
        <v>12981.5</v>
      </c>
      <c r="G51" s="36">
        <f t="shared" si="49"/>
        <v>8040.5</v>
      </c>
      <c r="H51" s="36">
        <f t="shared" si="49"/>
        <v>9523.679999999993</v>
      </c>
      <c r="I51" s="36">
        <f t="shared" si="49"/>
        <v>11325.180000000008</v>
      </c>
      <c r="J51" s="36">
        <f t="shared" si="49"/>
        <v>8389.5</v>
      </c>
      <c r="K51" s="36">
        <f t="shared" si="49"/>
        <v>11212.979999999996</v>
      </c>
      <c r="L51" s="36">
        <f t="shared" si="49"/>
        <v>9198.2799999999988</v>
      </c>
      <c r="M51" s="36">
        <f t="shared" si="49"/>
        <v>0</v>
      </c>
      <c r="N51" s="36">
        <f t="shared" si="49"/>
        <v>0</v>
      </c>
      <c r="O51" s="36">
        <f t="shared" ref="O51:O53" si="50">SUM(C51:N51)</f>
        <v>103201.37</v>
      </c>
    </row>
    <row r="52" spans="1:18" outlineLevel="1" x14ac:dyDescent="0.2">
      <c r="A52" s="41" t="s">
        <v>67</v>
      </c>
      <c r="C52" s="36">
        <f t="shared" si="48"/>
        <v>20672.5</v>
      </c>
      <c r="D52" s="36">
        <f t="shared" si="49"/>
        <v>21486</v>
      </c>
      <c r="E52" s="36">
        <f t="shared" si="49"/>
        <v>24518</v>
      </c>
      <c r="F52" s="36">
        <f t="shared" si="49"/>
        <v>39725.600000000006</v>
      </c>
      <c r="G52" s="36">
        <f t="shared" si="49"/>
        <v>42298.5</v>
      </c>
      <c r="H52" s="36">
        <f t="shared" si="49"/>
        <v>38213.25</v>
      </c>
      <c r="I52" s="36">
        <f t="shared" si="49"/>
        <v>71237.300000000017</v>
      </c>
      <c r="J52" s="36">
        <f t="shared" si="49"/>
        <v>51620.5</v>
      </c>
      <c r="K52" s="36">
        <f t="shared" si="49"/>
        <v>51403.5</v>
      </c>
      <c r="L52" s="36">
        <f t="shared" si="49"/>
        <v>68131.849999999977</v>
      </c>
      <c r="M52" s="36">
        <f t="shared" si="49"/>
        <v>0</v>
      </c>
      <c r="N52" s="36">
        <f t="shared" si="49"/>
        <v>0</v>
      </c>
      <c r="O52" s="36">
        <f t="shared" si="50"/>
        <v>429307</v>
      </c>
    </row>
    <row r="53" spans="1:18" outlineLevel="1" x14ac:dyDescent="0.2">
      <c r="A53" s="41" t="s">
        <v>68</v>
      </c>
      <c r="C53" s="36">
        <f t="shared" si="48"/>
        <v>10168.5</v>
      </c>
      <c r="D53" s="36">
        <f t="shared" si="49"/>
        <v>6809</v>
      </c>
      <c r="E53" s="36">
        <f t="shared" si="49"/>
        <v>398</v>
      </c>
      <c r="F53" s="36">
        <f t="shared" si="49"/>
        <v>0</v>
      </c>
      <c r="G53" s="36">
        <f t="shared" si="49"/>
        <v>0</v>
      </c>
      <c r="H53" s="36">
        <f t="shared" si="49"/>
        <v>0</v>
      </c>
      <c r="I53" s="36">
        <f t="shared" si="49"/>
        <v>0</v>
      </c>
      <c r="J53" s="36">
        <f t="shared" si="49"/>
        <v>0</v>
      </c>
      <c r="K53" s="36">
        <f t="shared" si="49"/>
        <v>0</v>
      </c>
      <c r="L53" s="36">
        <f t="shared" si="49"/>
        <v>0</v>
      </c>
      <c r="M53" s="36">
        <f t="shared" si="49"/>
        <v>0</v>
      </c>
      <c r="N53" s="36">
        <f t="shared" si="49"/>
        <v>0</v>
      </c>
      <c r="O53" s="36">
        <f t="shared" si="50"/>
        <v>17375.5</v>
      </c>
    </row>
    <row r="54" spans="1:18" ht="13.5" outlineLevel="1" thickBot="1" x14ac:dyDescent="0.25">
      <c r="A54" s="41" t="s">
        <v>39</v>
      </c>
      <c r="C54" s="44">
        <f t="shared" ref="C54:L54" si="51">SUM(C50:C53)</f>
        <v>90993</v>
      </c>
      <c r="D54" s="44">
        <f t="shared" si="51"/>
        <v>67549.75</v>
      </c>
      <c r="E54" s="44">
        <f t="shared" si="51"/>
        <v>68316.240000000005</v>
      </c>
      <c r="F54" s="44">
        <f t="shared" si="51"/>
        <v>94528.46</v>
      </c>
      <c r="G54" s="44">
        <f t="shared" si="51"/>
        <v>83713.109999999986</v>
      </c>
      <c r="H54" s="44">
        <f t="shared" si="51"/>
        <v>77158.760000000009</v>
      </c>
      <c r="I54" s="44">
        <f t="shared" si="51"/>
        <v>130433.29000000005</v>
      </c>
      <c r="J54" s="44">
        <f t="shared" si="51"/>
        <v>104504.25</v>
      </c>
      <c r="K54" s="44">
        <f t="shared" si="51"/>
        <v>118743.23499999994</v>
      </c>
      <c r="L54" s="44">
        <f t="shared" si="51"/>
        <v>122659.77499999999</v>
      </c>
      <c r="M54" s="44">
        <f>SUM(M50:M53)</f>
        <v>0</v>
      </c>
      <c r="N54" s="44">
        <f>SUM(N50:N53)</f>
        <v>0</v>
      </c>
      <c r="O54" s="44">
        <f>SUM(O50:O53)</f>
        <v>958599.87</v>
      </c>
      <c r="R54" s="48"/>
    </row>
    <row r="55" spans="1:18" ht="13.5" outlineLevel="1" thickTop="1" x14ac:dyDescent="0.2">
      <c r="R55" s="49"/>
    </row>
    <row r="56" spans="1:18" outlineLevel="1" x14ac:dyDescent="0.2">
      <c r="A56" s="67" t="s">
        <v>69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</row>
    <row r="57" spans="1:18" ht="13.5" outlineLevel="1" thickBot="1" x14ac:dyDescent="0.25">
      <c r="C57" s="46" t="s">
        <v>4</v>
      </c>
      <c r="D57" s="46" t="s">
        <v>5</v>
      </c>
      <c r="E57" s="46" t="s">
        <v>6</v>
      </c>
      <c r="F57" s="46" t="s">
        <v>7</v>
      </c>
      <c r="G57" s="46" t="s">
        <v>8</v>
      </c>
      <c r="H57" s="46" t="s">
        <v>9</v>
      </c>
      <c r="I57" s="46" t="s">
        <v>10</v>
      </c>
      <c r="J57" s="46" t="s">
        <v>11</v>
      </c>
      <c r="K57" s="46" t="s">
        <v>12</v>
      </c>
      <c r="L57" s="46" t="s">
        <v>13</v>
      </c>
      <c r="M57" s="46" t="s">
        <v>14</v>
      </c>
      <c r="N57" s="47" t="s">
        <v>15</v>
      </c>
    </row>
    <row r="58" spans="1:18" outlineLevel="1" x14ac:dyDescent="0.2">
      <c r="A58" s="41" t="s">
        <v>36</v>
      </c>
      <c r="C58" s="36">
        <v>46832.5</v>
      </c>
      <c r="D58" s="36">
        <v>76492.5</v>
      </c>
      <c r="E58" s="36">
        <v>110277.24</v>
      </c>
      <c r="F58" s="36">
        <v>152098.6</v>
      </c>
      <c r="G58" s="36">
        <v>185472.71</v>
      </c>
      <c r="H58" s="36">
        <v>214894.54</v>
      </c>
      <c r="I58" s="36">
        <v>262765.35000000003</v>
      </c>
      <c r="J58" s="36">
        <v>307259.60000000003</v>
      </c>
      <c r="K58" s="36">
        <v>363386.35499999998</v>
      </c>
      <c r="L58" s="36">
        <v>408716</v>
      </c>
    </row>
    <row r="59" spans="1:18" outlineLevel="1" x14ac:dyDescent="0.2">
      <c r="A59" s="41" t="s">
        <v>37</v>
      </c>
      <c r="C59" s="36">
        <v>13319.5</v>
      </c>
      <c r="D59" s="36">
        <v>22914.25</v>
      </c>
      <c r="E59" s="36">
        <v>32529.75</v>
      </c>
      <c r="F59" s="36">
        <v>45511.25</v>
      </c>
      <c r="G59" s="36">
        <v>53551.75</v>
      </c>
      <c r="H59" s="36">
        <v>63075.429999999993</v>
      </c>
      <c r="I59" s="36">
        <v>74400.61</v>
      </c>
      <c r="J59" s="36">
        <v>82790.11</v>
      </c>
      <c r="K59" s="36">
        <v>94003.09</v>
      </c>
      <c r="L59" s="36">
        <v>103201.37</v>
      </c>
    </row>
    <row r="60" spans="1:18" outlineLevel="1" x14ac:dyDescent="0.2">
      <c r="A60" s="41" t="s">
        <v>67</v>
      </c>
      <c r="C60" s="36">
        <v>20672.5</v>
      </c>
      <c r="D60" s="36">
        <v>42158.5</v>
      </c>
      <c r="E60" s="36">
        <v>66676.5</v>
      </c>
      <c r="F60" s="36">
        <v>106402.1</v>
      </c>
      <c r="G60" s="36">
        <v>148700.6</v>
      </c>
      <c r="H60" s="36">
        <v>186913.85</v>
      </c>
      <c r="I60" s="36">
        <v>258151.15000000002</v>
      </c>
      <c r="J60" s="36">
        <v>309771.65000000002</v>
      </c>
      <c r="K60" s="36">
        <v>361175.15</v>
      </c>
      <c r="L60" s="36">
        <v>429307</v>
      </c>
    </row>
    <row r="61" spans="1:18" outlineLevel="1" x14ac:dyDescent="0.2">
      <c r="A61" s="41" t="s">
        <v>68</v>
      </c>
      <c r="C61" s="36">
        <v>10168.5</v>
      </c>
      <c r="D61" s="36">
        <v>16977.5</v>
      </c>
      <c r="E61" s="36">
        <v>17375.5</v>
      </c>
      <c r="F61" s="36">
        <v>17375.5</v>
      </c>
      <c r="G61" s="36">
        <v>17375.5</v>
      </c>
      <c r="H61" s="36">
        <v>17375.5</v>
      </c>
      <c r="I61" s="36">
        <v>17375.5</v>
      </c>
      <c r="J61" s="36">
        <v>17375.5</v>
      </c>
      <c r="K61" s="36">
        <v>17375.5</v>
      </c>
      <c r="L61" s="36">
        <v>17375.5</v>
      </c>
    </row>
    <row r="62" spans="1:18" ht="13.5" outlineLevel="1" thickBot="1" x14ac:dyDescent="0.25">
      <c r="A62" s="41" t="s">
        <v>39</v>
      </c>
      <c r="C62" s="44">
        <f t="shared" ref="C62:L62" si="52">SUM(C58:C61)</f>
        <v>90993</v>
      </c>
      <c r="D62" s="44">
        <f t="shared" si="52"/>
        <v>158542.75</v>
      </c>
      <c r="E62" s="44">
        <f t="shared" si="52"/>
        <v>226858.99</v>
      </c>
      <c r="F62" s="44">
        <f t="shared" si="52"/>
        <v>321387.45</v>
      </c>
      <c r="G62" s="44">
        <f t="shared" si="52"/>
        <v>405100.56</v>
      </c>
      <c r="H62" s="44">
        <f t="shared" si="52"/>
        <v>482259.31999999995</v>
      </c>
      <c r="I62" s="44">
        <f t="shared" si="52"/>
        <v>612692.6100000001</v>
      </c>
      <c r="J62" s="44">
        <f t="shared" si="52"/>
        <v>717196.8600000001</v>
      </c>
      <c r="K62" s="44">
        <f t="shared" si="52"/>
        <v>835940.09499999997</v>
      </c>
      <c r="L62" s="44">
        <f t="shared" si="52"/>
        <v>958599.87</v>
      </c>
      <c r="M62" s="44">
        <f>SUM(M58:M61)</f>
        <v>0</v>
      </c>
      <c r="N62" s="44">
        <f>SUM(N58:N61)</f>
        <v>0</v>
      </c>
    </row>
    <row r="63" spans="1:18" ht="13.5" outlineLevel="1" thickTop="1" x14ac:dyDescent="0.2"/>
  </sheetData>
  <mergeCells count="8">
    <mergeCell ref="A48:O48"/>
    <mergeCell ref="A56:O56"/>
    <mergeCell ref="A7:AC7"/>
    <mergeCell ref="C8:O8"/>
    <mergeCell ref="Q8:AC8"/>
    <mergeCell ref="A25:AC25"/>
    <mergeCell ref="C26:O26"/>
    <mergeCell ref="Q26:AC26"/>
  </mergeCells>
  <pageMargins left="0.7" right="0.7" top="0.75" bottom="0.75" header="0.3" footer="0.3"/>
  <pageSetup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"/>
  <sheetViews>
    <sheetView zoomScale="90" zoomScaleNormal="9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N20" sqref="N20"/>
    </sheetView>
  </sheetViews>
  <sheetFormatPr defaultColWidth="9.140625" defaultRowHeight="12.75" customHeight="1" x14ac:dyDescent="0.2"/>
  <cols>
    <col min="1" max="1" width="30.7109375" bestFit="1" customWidth="1"/>
    <col min="2" max="2" width="13.5703125" bestFit="1" customWidth="1"/>
    <col min="3" max="3" width="19.28515625" bestFit="1" customWidth="1"/>
    <col min="4" max="4" width="13.5703125" bestFit="1" customWidth="1"/>
    <col min="5" max="14" width="14" bestFit="1" customWidth="1"/>
    <col min="15" max="15" width="14" hidden="1" customWidth="1"/>
    <col min="16" max="16" width="11.7109375" hidden="1" customWidth="1"/>
    <col min="17" max="17" width="15" bestFit="1" customWidth="1"/>
    <col min="18" max="18" width="13" bestFit="1" customWidth="1"/>
    <col min="19" max="19" width="14.7109375" bestFit="1" customWidth="1"/>
  </cols>
  <sheetData>
    <row r="1" spans="1:17" ht="33" customHeight="1" thickBot="1" x14ac:dyDescent="0.25">
      <c r="A1" s="1" t="s">
        <v>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 ht="13.5" thickBot="1" x14ac:dyDescent="0.25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spans="1:17" ht="13.5" thickBot="1" x14ac:dyDescent="0.25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7" t="s">
        <v>16</v>
      </c>
    </row>
    <row r="4" spans="1:17" ht="13.5" customHeight="1" thickBot="1" x14ac:dyDescent="0.25">
      <c r="A4" s="8" t="s">
        <v>17</v>
      </c>
      <c r="B4" s="9" t="s">
        <v>18</v>
      </c>
      <c r="C4" s="9" t="s">
        <v>42</v>
      </c>
      <c r="D4" s="53">
        <v>341</v>
      </c>
      <c r="E4" s="11">
        <f>E6-E5</f>
        <v>-1304163.52</v>
      </c>
      <c r="F4" s="11">
        <f t="shared" ref="F4:P4" si="0">F6-F5</f>
        <v>-1070090</v>
      </c>
      <c r="G4" s="11">
        <f t="shared" si="0"/>
        <v>-1147555.0999999999</v>
      </c>
      <c r="H4" s="11">
        <f t="shared" si="0"/>
        <v>-1240827.57</v>
      </c>
      <c r="I4" s="11">
        <f t="shared" si="0"/>
        <v>-1574838.56</v>
      </c>
      <c r="J4" s="11">
        <f t="shared" si="0"/>
        <v>-1378198.71</v>
      </c>
      <c r="K4" s="11">
        <f t="shared" si="0"/>
        <v>-2531909.87</v>
      </c>
      <c r="L4" s="11">
        <f t="shared" si="0"/>
        <v>-1998261.13</v>
      </c>
      <c r="M4" s="11">
        <f t="shared" si="0"/>
        <v>-2025180.51</v>
      </c>
      <c r="N4" s="11">
        <f t="shared" si="0"/>
        <v>-2721438.01</v>
      </c>
      <c r="O4" s="11">
        <f t="shared" si="0"/>
        <v>0</v>
      </c>
      <c r="P4" s="11">
        <f t="shared" si="0"/>
        <v>0</v>
      </c>
      <c r="Q4" s="12">
        <f>SUM(E4:P4)</f>
        <v>-16992462.98</v>
      </c>
    </row>
    <row r="5" spans="1:17" ht="13.5" customHeight="1" thickBot="1" x14ac:dyDescent="0.25">
      <c r="A5" s="13"/>
      <c r="B5" s="51"/>
      <c r="C5" s="9" t="s">
        <v>43</v>
      </c>
      <c r="D5" s="10">
        <v>341</v>
      </c>
      <c r="E5" s="52">
        <v>-571652.55000000005</v>
      </c>
      <c r="F5" s="52">
        <v>-357987.95</v>
      </c>
      <c r="G5" s="52">
        <v>-404997.79</v>
      </c>
      <c r="H5" s="52">
        <v>-485651.93</v>
      </c>
      <c r="I5" s="52">
        <v>-727729.92</v>
      </c>
      <c r="J5" s="52">
        <v>-632662.17000000004</v>
      </c>
      <c r="K5" s="52"/>
      <c r="L5" s="52"/>
      <c r="M5" s="52"/>
      <c r="N5" s="52"/>
      <c r="O5" s="52"/>
      <c r="P5" s="52"/>
      <c r="Q5" s="12">
        <f>SUM(E5:P5)</f>
        <v>-3180682.31</v>
      </c>
    </row>
    <row r="6" spans="1:17" ht="13.5" thickBot="1" x14ac:dyDescent="0.25">
      <c r="A6" s="14"/>
      <c r="B6" s="15" t="s">
        <v>28</v>
      </c>
      <c r="C6" s="16"/>
      <c r="D6" s="17"/>
      <c r="E6" s="18">
        <v>-1875816.07</v>
      </c>
      <c r="F6" s="18">
        <v>-1428077.95</v>
      </c>
      <c r="G6" s="18">
        <v>-1552552.89</v>
      </c>
      <c r="H6" s="18">
        <v>-1726479.5</v>
      </c>
      <c r="I6" s="18">
        <v>-2302568.48</v>
      </c>
      <c r="J6" s="18">
        <v>-2010860.88</v>
      </c>
      <c r="K6" s="18">
        <v>-2531909.87</v>
      </c>
      <c r="L6" s="18">
        <v>-1998261.13</v>
      </c>
      <c r="M6" s="18">
        <v>-2025180.51</v>
      </c>
      <c r="N6" s="18">
        <v>-2721438.01</v>
      </c>
      <c r="O6" s="18">
        <v>0</v>
      </c>
      <c r="P6" s="18">
        <v>0</v>
      </c>
      <c r="Q6" s="19">
        <f>SUM(Q4:Q5)</f>
        <v>-20173145.289999999</v>
      </c>
    </row>
    <row r="7" spans="1:17" ht="13.5" thickBot="1" x14ac:dyDescent="0.25">
      <c r="A7" s="14"/>
      <c r="B7" s="20" t="s">
        <v>19</v>
      </c>
      <c r="C7" s="9" t="s">
        <v>20</v>
      </c>
      <c r="D7" s="10">
        <v>341</v>
      </c>
      <c r="E7" s="11">
        <v>592255.76</v>
      </c>
      <c r="F7" s="11">
        <v>563050.61</v>
      </c>
      <c r="G7" s="11">
        <v>525361.62</v>
      </c>
      <c r="H7" s="11">
        <v>494097.22999999992</v>
      </c>
      <c r="I7" s="11">
        <v>574141.77</v>
      </c>
      <c r="J7" s="11">
        <v>513722.69000000006</v>
      </c>
      <c r="K7" s="11">
        <v>740150.95</v>
      </c>
      <c r="L7" s="11">
        <v>570230.96</v>
      </c>
      <c r="M7" s="11">
        <v>653440.65</v>
      </c>
      <c r="N7" s="11">
        <v>675553.09</v>
      </c>
      <c r="O7" s="11">
        <v>0</v>
      </c>
      <c r="P7" s="11">
        <v>0</v>
      </c>
      <c r="Q7" s="12">
        <f t="shared" ref="Q7:Q17" si="1">SUM(E7:P7)</f>
        <v>5902005.3300000001</v>
      </c>
    </row>
    <row r="8" spans="1:17" ht="13.5" thickBot="1" x14ac:dyDescent="0.25">
      <c r="A8" s="14"/>
      <c r="B8" s="21"/>
      <c r="C8" s="9" t="s">
        <v>21</v>
      </c>
      <c r="D8" s="10">
        <v>341</v>
      </c>
      <c r="E8" s="11">
        <v>293422.21000000002</v>
      </c>
      <c r="F8" s="11">
        <v>231941.64</v>
      </c>
      <c r="G8" s="11">
        <v>49706.42</v>
      </c>
      <c r="H8" s="11">
        <v>340243.92</v>
      </c>
      <c r="I8" s="11">
        <v>406620.5</v>
      </c>
      <c r="J8" s="11">
        <v>-9864.56</v>
      </c>
      <c r="K8" s="11">
        <v>739131.43</v>
      </c>
      <c r="L8" s="11">
        <v>251897.61</v>
      </c>
      <c r="M8" s="11">
        <v>435893.39</v>
      </c>
      <c r="N8" s="11">
        <v>344975.35</v>
      </c>
      <c r="O8" s="11">
        <v>0</v>
      </c>
      <c r="P8" s="11">
        <v>0</v>
      </c>
      <c r="Q8" s="12">
        <f t="shared" si="1"/>
        <v>3083967.91</v>
      </c>
    </row>
    <row r="9" spans="1:17" ht="13.5" thickBot="1" x14ac:dyDescent="0.25">
      <c r="A9" s="14"/>
      <c r="B9" s="21"/>
      <c r="C9" s="9" t="s">
        <v>22</v>
      </c>
      <c r="D9" s="10">
        <v>341</v>
      </c>
      <c r="E9" s="11">
        <v>392435.02</v>
      </c>
      <c r="F9" s="11">
        <v>403947.87</v>
      </c>
      <c r="G9" s="11">
        <v>407412.74</v>
      </c>
      <c r="H9" s="11">
        <v>388972.38</v>
      </c>
      <c r="I9" s="11">
        <v>395347.45</v>
      </c>
      <c r="J9" s="11">
        <v>391476.87</v>
      </c>
      <c r="K9" s="11">
        <v>394134.84</v>
      </c>
      <c r="L9" s="11">
        <v>444552.79</v>
      </c>
      <c r="M9" s="11">
        <v>392068.76</v>
      </c>
      <c r="N9" s="11">
        <v>411163.05</v>
      </c>
      <c r="O9" s="11">
        <v>0</v>
      </c>
      <c r="P9" s="11">
        <v>0</v>
      </c>
      <c r="Q9" s="12">
        <f t="shared" si="1"/>
        <v>4021511.7699999996</v>
      </c>
    </row>
    <row r="10" spans="1:17" ht="13.5" thickBot="1" x14ac:dyDescent="0.25">
      <c r="A10" s="14"/>
      <c r="B10" s="21"/>
      <c r="C10" s="9" t="s">
        <v>23</v>
      </c>
      <c r="D10" s="10">
        <v>341</v>
      </c>
      <c r="E10" s="11">
        <v>163566.12</v>
      </c>
      <c r="F10" s="11">
        <v>161170.72</v>
      </c>
      <c r="G10" s="11">
        <v>154781.97</v>
      </c>
      <c r="H10" s="11">
        <v>153255.73000000001</v>
      </c>
      <c r="I10" s="11">
        <v>148043.93</v>
      </c>
      <c r="J10" s="11">
        <v>145367.07999999999</v>
      </c>
      <c r="K10" s="11">
        <v>144944.34</v>
      </c>
      <c r="L10" s="11">
        <v>142161.16</v>
      </c>
      <c r="M10" s="11">
        <v>149636.57999999999</v>
      </c>
      <c r="N10" s="11">
        <v>145525.25</v>
      </c>
      <c r="O10" s="11">
        <v>0</v>
      </c>
      <c r="P10" s="11">
        <v>0</v>
      </c>
      <c r="Q10" s="12">
        <f t="shared" si="1"/>
        <v>1508452.88</v>
      </c>
    </row>
    <row r="11" spans="1:17" ht="13.5" thickBot="1" x14ac:dyDescent="0.25">
      <c r="A11" s="14"/>
      <c r="B11" s="21"/>
      <c r="C11" s="9" t="s">
        <v>31</v>
      </c>
      <c r="D11" s="10">
        <v>341</v>
      </c>
      <c r="E11" s="11">
        <v>159961.79999999999</v>
      </c>
      <c r="F11" s="11">
        <v>148228.09</v>
      </c>
      <c r="G11" s="11">
        <v>183422.88999999998</v>
      </c>
      <c r="H11" s="11">
        <v>285506.96999999997</v>
      </c>
      <c r="I11" s="11">
        <v>206232.72</v>
      </c>
      <c r="J11" s="11">
        <v>208505.27</v>
      </c>
      <c r="K11" s="11">
        <v>302633.14</v>
      </c>
      <c r="L11" s="11">
        <v>94383.24</v>
      </c>
      <c r="M11" s="11">
        <v>331233.84000000003</v>
      </c>
      <c r="N11" s="11">
        <v>59879.37</v>
      </c>
      <c r="O11" s="11">
        <v>0</v>
      </c>
      <c r="P11" s="11">
        <v>0</v>
      </c>
      <c r="Q11" s="12">
        <f t="shared" si="1"/>
        <v>1979987.33</v>
      </c>
    </row>
    <row r="12" spans="1:17" ht="13.5" thickBot="1" x14ac:dyDescent="0.25">
      <c r="A12" s="14"/>
      <c r="B12" s="21"/>
      <c r="C12" s="9" t="s">
        <v>40</v>
      </c>
      <c r="D12" s="10">
        <v>341</v>
      </c>
      <c r="E12" s="11">
        <v>67146.61</v>
      </c>
      <c r="F12" s="11">
        <v>53365.56</v>
      </c>
      <c r="G12" s="11">
        <v>106221.08</v>
      </c>
      <c r="H12" s="11">
        <v>-64252.58</v>
      </c>
      <c r="I12" s="11">
        <v>112042.77</v>
      </c>
      <c r="J12" s="11">
        <v>276443.28999999998</v>
      </c>
      <c r="K12" s="11">
        <v>-466840.38</v>
      </c>
      <c r="L12" s="11">
        <v>-120205.35</v>
      </c>
      <c r="M12" s="11">
        <v>-110116.2</v>
      </c>
      <c r="N12" s="11">
        <v>-128248.1</v>
      </c>
      <c r="O12" s="11">
        <v>0</v>
      </c>
      <c r="P12" s="11">
        <v>0</v>
      </c>
      <c r="Q12" s="12">
        <f t="shared" si="1"/>
        <v>-274443.30000000005</v>
      </c>
    </row>
    <row r="13" spans="1:17" ht="13.5" thickBot="1" x14ac:dyDescent="0.25">
      <c r="A13" s="14"/>
      <c r="B13" s="21"/>
      <c r="C13" s="9" t="s">
        <v>24</v>
      </c>
      <c r="D13" s="10">
        <v>341</v>
      </c>
      <c r="E13" s="11">
        <v>16062.34</v>
      </c>
      <c r="F13" s="11">
        <v>11679.67</v>
      </c>
      <c r="G13" s="11">
        <v>25411.16</v>
      </c>
      <c r="H13" s="11">
        <v>23972.05</v>
      </c>
      <c r="I13" s="11">
        <v>19573.580000000002</v>
      </c>
      <c r="J13" s="11">
        <v>24830.28</v>
      </c>
      <c r="K13" s="11">
        <v>152083.10999999999</v>
      </c>
      <c r="L13" s="11">
        <v>276135.89</v>
      </c>
      <c r="M13" s="11">
        <v>102598.68999999999</v>
      </c>
      <c r="N13" s="71">
        <v>479935.34</v>
      </c>
      <c r="O13" s="11">
        <v>0</v>
      </c>
      <c r="P13" s="11">
        <v>0</v>
      </c>
      <c r="Q13" s="12">
        <f t="shared" si="1"/>
        <v>1132282.1100000001</v>
      </c>
    </row>
    <row r="14" spans="1:17" ht="13.5" thickBot="1" x14ac:dyDescent="0.25">
      <c r="A14" s="14"/>
      <c r="B14" s="21"/>
      <c r="C14" s="9" t="s">
        <v>32</v>
      </c>
      <c r="D14" s="10">
        <v>341</v>
      </c>
      <c r="E14" s="11">
        <v>160348.03</v>
      </c>
      <c r="F14" s="11">
        <v>97259.71</v>
      </c>
      <c r="G14" s="11">
        <v>128473.03</v>
      </c>
      <c r="H14" s="11">
        <v>146473.03</v>
      </c>
      <c r="I14" s="11">
        <v>159859.64000000001</v>
      </c>
      <c r="J14" s="11">
        <v>158871.93</v>
      </c>
      <c r="K14" s="11">
        <v>165886.59</v>
      </c>
      <c r="L14" s="11">
        <v>160886.59</v>
      </c>
      <c r="M14" s="11">
        <v>165481.91</v>
      </c>
      <c r="N14" s="11">
        <v>167719.93</v>
      </c>
      <c r="O14" s="11">
        <v>0</v>
      </c>
      <c r="P14" s="11">
        <v>0</v>
      </c>
      <c r="Q14" s="12">
        <f t="shared" si="1"/>
        <v>1511260.39</v>
      </c>
    </row>
    <row r="15" spans="1:17" ht="13.5" thickBot="1" x14ac:dyDescent="0.25">
      <c r="A15" s="14"/>
      <c r="B15" s="21"/>
      <c r="C15" s="9" t="s">
        <v>33</v>
      </c>
      <c r="D15" s="10">
        <v>341</v>
      </c>
      <c r="E15" s="11">
        <v>53687.96</v>
      </c>
      <c r="F15" s="11">
        <v>103131</v>
      </c>
      <c r="G15" s="11">
        <v>-7501</v>
      </c>
      <c r="H15" s="11">
        <v>5795.15</v>
      </c>
      <c r="I15" s="11">
        <v>4570.8900000000003</v>
      </c>
      <c r="J15" s="11">
        <v>153148.64000000001</v>
      </c>
      <c r="K15" s="11">
        <v>31743</v>
      </c>
      <c r="L15" s="11">
        <v>54723.5</v>
      </c>
      <c r="M15" s="11">
        <v>87599</v>
      </c>
      <c r="N15" s="11">
        <v>86328.5</v>
      </c>
      <c r="O15" s="11">
        <v>0</v>
      </c>
      <c r="P15" s="11">
        <v>0</v>
      </c>
      <c r="Q15" s="12">
        <f t="shared" si="1"/>
        <v>573226.64</v>
      </c>
    </row>
    <row r="16" spans="1:17" ht="13.5" thickBot="1" x14ac:dyDescent="0.25">
      <c r="A16" s="14"/>
      <c r="B16" s="21"/>
      <c r="C16" s="9" t="s">
        <v>25</v>
      </c>
      <c r="D16" s="10">
        <v>341</v>
      </c>
      <c r="E16" s="11">
        <v>70699.489999999991</v>
      </c>
      <c r="F16" s="11">
        <v>33613.369999999995</v>
      </c>
      <c r="G16" s="11">
        <v>37401.289999999994</v>
      </c>
      <c r="H16" s="11">
        <v>67150.34</v>
      </c>
      <c r="I16" s="11">
        <v>-165.91999999999825</v>
      </c>
      <c r="J16" s="11">
        <v>26528.77</v>
      </c>
      <c r="K16" s="11">
        <v>23983.68</v>
      </c>
      <c r="L16" s="11">
        <v>19560.39</v>
      </c>
      <c r="M16" s="11">
        <v>18093.53</v>
      </c>
      <c r="N16" s="11">
        <v>30203.919999999998</v>
      </c>
      <c r="O16" s="11">
        <v>0</v>
      </c>
      <c r="P16" s="11">
        <v>0</v>
      </c>
      <c r="Q16" s="12">
        <f t="shared" si="1"/>
        <v>327068.85999999993</v>
      </c>
    </row>
    <row r="17" spans="1:17" ht="13.5" thickBot="1" x14ac:dyDescent="0.25">
      <c r="A17" s="14"/>
      <c r="B17" s="22"/>
      <c r="C17" s="9" t="s">
        <v>26</v>
      </c>
      <c r="D17" s="10">
        <v>341</v>
      </c>
      <c r="E17" s="11">
        <v>-62647.82</v>
      </c>
      <c r="F17" s="11">
        <v>-40315.449999999997</v>
      </c>
      <c r="G17" s="11">
        <v>-1979.07</v>
      </c>
      <c r="H17" s="11">
        <v>-12362.74</v>
      </c>
      <c r="I17" s="11">
        <v>-12216.29</v>
      </c>
      <c r="J17" s="11">
        <v>-53829.760000000002</v>
      </c>
      <c r="K17" s="11">
        <v>37108.870000000003</v>
      </c>
      <c r="L17" s="11">
        <v>64742.71</v>
      </c>
      <c r="M17" s="11">
        <v>104472.35999999999</v>
      </c>
      <c r="N17" s="11">
        <v>67375.789999999994</v>
      </c>
      <c r="O17" s="11">
        <v>0</v>
      </c>
      <c r="P17" s="11">
        <v>0</v>
      </c>
      <c r="Q17" s="12">
        <f t="shared" si="1"/>
        <v>90348.599999999962</v>
      </c>
    </row>
    <row r="18" spans="1:17" ht="13.5" thickBot="1" x14ac:dyDescent="0.25">
      <c r="A18" s="23"/>
      <c r="B18" s="15" t="s">
        <v>29</v>
      </c>
      <c r="C18" s="16"/>
      <c r="D18" s="17"/>
      <c r="E18" s="18">
        <f>SUM(E7:E17)</f>
        <v>1906937.52</v>
      </c>
      <c r="F18" s="18">
        <f t="shared" ref="F18:Q18" si="2">SUM(F7:F17)</f>
        <v>1767072.7900000003</v>
      </c>
      <c r="G18" s="18">
        <f t="shared" si="2"/>
        <v>1608712.13</v>
      </c>
      <c r="H18" s="18">
        <f t="shared" si="2"/>
        <v>1828851.4799999997</v>
      </c>
      <c r="I18" s="18">
        <f t="shared" si="2"/>
        <v>2014051.0399999998</v>
      </c>
      <c r="J18" s="18">
        <f t="shared" si="2"/>
        <v>1835200.4999999998</v>
      </c>
      <c r="K18" s="18">
        <f t="shared" si="2"/>
        <v>2264959.5700000003</v>
      </c>
      <c r="L18" s="18">
        <f t="shared" si="2"/>
        <v>1959069.4899999998</v>
      </c>
      <c r="M18" s="18">
        <f t="shared" si="2"/>
        <v>2330402.5099999998</v>
      </c>
      <c r="N18" s="18">
        <f t="shared" si="2"/>
        <v>2340411.4900000002</v>
      </c>
      <c r="O18" s="18">
        <f t="shared" si="2"/>
        <v>0</v>
      </c>
      <c r="P18" s="18">
        <f t="shared" si="2"/>
        <v>0</v>
      </c>
      <c r="Q18" s="19">
        <f t="shared" si="2"/>
        <v>19855668.520000003</v>
      </c>
    </row>
    <row r="19" spans="1:17" ht="13.5" thickBot="1" x14ac:dyDescent="0.25">
      <c r="A19" s="24" t="s">
        <v>44</v>
      </c>
      <c r="B19" s="16"/>
      <c r="C19" s="16"/>
      <c r="D19" s="17"/>
      <c r="E19" s="18">
        <f>+E6+E18</f>
        <v>31121.449999999953</v>
      </c>
      <c r="F19" s="18">
        <f t="shared" ref="F19:Q19" si="3">+F6+F18</f>
        <v>338994.84000000032</v>
      </c>
      <c r="G19" s="18">
        <f t="shared" si="3"/>
        <v>56159.239999999991</v>
      </c>
      <c r="H19" s="18">
        <f t="shared" si="3"/>
        <v>102371.97999999975</v>
      </c>
      <c r="I19" s="18">
        <f t="shared" si="3"/>
        <v>-288517.44000000018</v>
      </c>
      <c r="J19" s="18">
        <f t="shared" si="3"/>
        <v>-175660.38000000012</v>
      </c>
      <c r="K19" s="18">
        <f t="shared" si="3"/>
        <v>-266950.29999999981</v>
      </c>
      <c r="L19" s="18">
        <f t="shared" si="3"/>
        <v>-39191.64000000013</v>
      </c>
      <c r="M19" s="18">
        <f t="shared" si="3"/>
        <v>305221.99999999977</v>
      </c>
      <c r="N19" s="18">
        <f t="shared" si="3"/>
        <v>-381026.51999999955</v>
      </c>
      <c r="O19" s="18">
        <f t="shared" si="3"/>
        <v>0</v>
      </c>
      <c r="P19" s="18">
        <f t="shared" si="3"/>
        <v>0</v>
      </c>
      <c r="Q19" s="19">
        <f t="shared" si="3"/>
        <v>-317476.76999999583</v>
      </c>
    </row>
    <row r="20" spans="1:17" ht="13.5" customHeight="1" thickBot="1" x14ac:dyDescent="0.25">
      <c r="A20" s="8" t="s">
        <v>27</v>
      </c>
      <c r="B20" s="9" t="s">
        <v>18</v>
      </c>
      <c r="C20" s="9" t="s">
        <v>18</v>
      </c>
      <c r="D20" s="10">
        <v>342</v>
      </c>
      <c r="E20" s="11">
        <v>-149306.21</v>
      </c>
      <c r="F20" s="11">
        <v>-95480.04</v>
      </c>
      <c r="G20" s="11">
        <v>-88144.87</v>
      </c>
      <c r="H20" s="11">
        <v>-120380.08</v>
      </c>
      <c r="I20" s="11">
        <v>-89382.74</v>
      </c>
      <c r="J20" s="11">
        <v>-85041.53</v>
      </c>
      <c r="K20" s="11">
        <v>-68217.8</v>
      </c>
      <c r="L20" s="11">
        <v>-86663.37</v>
      </c>
      <c r="M20" s="11">
        <f>+M21</f>
        <v>-154882.82</v>
      </c>
      <c r="N20" s="11">
        <f t="shared" ref="N20:P20" si="4">+N21</f>
        <v>-202100.96</v>
      </c>
      <c r="O20" s="11">
        <f t="shared" si="4"/>
        <v>0</v>
      </c>
      <c r="P20" s="11">
        <f t="shared" si="4"/>
        <v>0</v>
      </c>
      <c r="Q20" s="12">
        <f>SUM(E20:P20)</f>
        <v>-1139600.4200000002</v>
      </c>
    </row>
    <row r="21" spans="1:17" ht="13.5" thickBot="1" x14ac:dyDescent="0.25">
      <c r="A21" s="14"/>
      <c r="B21" s="15" t="s">
        <v>28</v>
      </c>
      <c r="C21" s="16"/>
      <c r="D21" s="17"/>
      <c r="E21" s="18">
        <f>E20</f>
        <v>-149306.21</v>
      </c>
      <c r="F21" s="18">
        <f t="shared" ref="F21:L21" si="5">F20</f>
        <v>-95480.04</v>
      </c>
      <c r="G21" s="18">
        <f t="shared" si="5"/>
        <v>-88144.87</v>
      </c>
      <c r="H21" s="18">
        <f t="shared" si="5"/>
        <v>-120380.08</v>
      </c>
      <c r="I21" s="18">
        <f t="shared" si="5"/>
        <v>-89382.74</v>
      </c>
      <c r="J21" s="18">
        <f t="shared" si="5"/>
        <v>-85041.53</v>
      </c>
      <c r="K21" s="18">
        <f t="shared" si="5"/>
        <v>-68217.8</v>
      </c>
      <c r="L21" s="18">
        <f t="shared" si="5"/>
        <v>-86663.37</v>
      </c>
      <c r="M21" s="18">
        <v>-154882.82</v>
      </c>
      <c r="N21" s="18">
        <v>-202100.96</v>
      </c>
      <c r="O21" s="18">
        <v>0</v>
      </c>
      <c r="P21" s="18">
        <v>0</v>
      </c>
      <c r="Q21" s="19">
        <f>SUM(E21:P21)</f>
        <v>-1139600.4200000002</v>
      </c>
    </row>
    <row r="22" spans="1:17" ht="13.5" thickBot="1" x14ac:dyDescent="0.25">
      <c r="A22" s="14"/>
      <c r="B22" s="20" t="s">
        <v>19</v>
      </c>
      <c r="C22" s="9" t="s">
        <v>20</v>
      </c>
      <c r="D22" s="10">
        <v>342</v>
      </c>
      <c r="E22" s="11">
        <v>20808.330000000002</v>
      </c>
      <c r="F22" s="11">
        <v>14021.010000000002</v>
      </c>
      <c r="G22" s="11">
        <v>19129.810000000005</v>
      </c>
      <c r="H22" s="11">
        <v>15162.89</v>
      </c>
      <c r="I22" s="11">
        <v>14275.809999999998</v>
      </c>
      <c r="J22" s="11">
        <v>11444.580000000002</v>
      </c>
      <c r="K22" s="11">
        <v>12442.09</v>
      </c>
      <c r="L22" s="11">
        <v>35366.19</v>
      </c>
      <c r="M22" s="11">
        <v>36221.810000000005</v>
      </c>
      <c r="N22" s="11">
        <v>32934.370000000003</v>
      </c>
      <c r="O22" s="11">
        <v>0</v>
      </c>
      <c r="P22" s="11">
        <v>0</v>
      </c>
      <c r="Q22" s="12">
        <f t="shared" ref="Q22:Q32" si="6">SUM(E22:P22)</f>
        <v>211806.89</v>
      </c>
    </row>
    <row r="23" spans="1:17" ht="13.5" thickBot="1" x14ac:dyDescent="0.25">
      <c r="A23" s="14"/>
      <c r="B23" s="25"/>
      <c r="C23" s="9" t="s">
        <v>21</v>
      </c>
      <c r="D23" s="10">
        <v>342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1800</v>
      </c>
      <c r="L23" s="11">
        <v>-1800</v>
      </c>
      <c r="M23" s="11">
        <v>0</v>
      </c>
      <c r="N23" s="11" t="s">
        <v>71</v>
      </c>
      <c r="O23" s="11">
        <v>0</v>
      </c>
      <c r="P23" s="11">
        <v>0</v>
      </c>
      <c r="Q23" s="12">
        <f t="shared" si="6"/>
        <v>0</v>
      </c>
    </row>
    <row r="24" spans="1:17" ht="13.5" thickBot="1" x14ac:dyDescent="0.25">
      <c r="A24" s="14"/>
      <c r="B24" s="21"/>
      <c r="C24" s="9" t="s">
        <v>22</v>
      </c>
      <c r="D24" s="10">
        <v>342</v>
      </c>
      <c r="E24" s="11">
        <v>11107.29</v>
      </c>
      <c r="F24" s="11">
        <v>12569.36</v>
      </c>
      <c r="G24" s="11">
        <v>9336.73</v>
      </c>
      <c r="H24" s="11">
        <v>16817.3</v>
      </c>
      <c r="I24" s="11">
        <v>16846.490000000002</v>
      </c>
      <c r="J24" s="11">
        <v>10893.97</v>
      </c>
      <c r="K24" s="11">
        <v>14078.66</v>
      </c>
      <c r="L24" s="11">
        <v>10285.31</v>
      </c>
      <c r="M24" s="11">
        <v>10470.57</v>
      </c>
      <c r="N24" s="11">
        <v>20139.22</v>
      </c>
      <c r="O24" s="11">
        <v>0</v>
      </c>
      <c r="P24" s="11">
        <v>0</v>
      </c>
      <c r="Q24" s="12">
        <f t="shared" si="6"/>
        <v>132544.90000000002</v>
      </c>
    </row>
    <row r="25" spans="1:17" ht="13.5" thickBot="1" x14ac:dyDescent="0.25">
      <c r="A25" s="14"/>
      <c r="B25" s="21"/>
      <c r="C25" s="9" t="s">
        <v>23</v>
      </c>
      <c r="D25" s="10">
        <v>342</v>
      </c>
      <c r="E25" s="11">
        <v>52346.49</v>
      </c>
      <c r="F25" s="11">
        <v>52176.61</v>
      </c>
      <c r="G25" s="11">
        <v>52346.48</v>
      </c>
      <c r="H25" s="11">
        <v>52413.13</v>
      </c>
      <c r="I25" s="11">
        <v>52601.2</v>
      </c>
      <c r="J25" s="11">
        <v>52536.26</v>
      </c>
      <c r="K25" s="11">
        <v>52199.62</v>
      </c>
      <c r="L25" s="11">
        <v>52199.64</v>
      </c>
      <c r="M25" s="11">
        <v>52147.73</v>
      </c>
      <c r="N25" s="11">
        <v>52199.66</v>
      </c>
      <c r="O25" s="11">
        <v>0</v>
      </c>
      <c r="P25" s="11">
        <v>0</v>
      </c>
      <c r="Q25" s="12">
        <f t="shared" si="6"/>
        <v>523166.82000000007</v>
      </c>
    </row>
    <row r="26" spans="1:17" ht="13.5" thickBot="1" x14ac:dyDescent="0.25">
      <c r="A26" s="14"/>
      <c r="B26" s="21"/>
      <c r="C26" s="9" t="s">
        <v>31</v>
      </c>
      <c r="D26" s="10">
        <v>342</v>
      </c>
      <c r="E26" s="11">
        <v>33098.49</v>
      </c>
      <c r="F26" s="11">
        <v>81670.899999999994</v>
      </c>
      <c r="G26" s="11">
        <v>66954.33</v>
      </c>
      <c r="H26" s="11">
        <v>23213.119999999999</v>
      </c>
      <c r="I26" s="11">
        <v>36256.1</v>
      </c>
      <c r="J26" s="11">
        <v>59153.49</v>
      </c>
      <c r="K26" s="11">
        <v>74106.429999999993</v>
      </c>
      <c r="L26" s="11">
        <v>32739.200000000001</v>
      </c>
      <c r="M26" s="11">
        <v>73521.489999999991</v>
      </c>
      <c r="N26" s="11">
        <v>-24445.13</v>
      </c>
      <c r="O26" s="11">
        <v>0</v>
      </c>
      <c r="P26" s="11">
        <v>0</v>
      </c>
      <c r="Q26" s="12">
        <f t="shared" si="6"/>
        <v>456268.42</v>
      </c>
    </row>
    <row r="27" spans="1:17" ht="13.5" thickBot="1" x14ac:dyDescent="0.25">
      <c r="A27" s="14"/>
      <c r="B27" s="21"/>
      <c r="C27" s="9" t="s">
        <v>40</v>
      </c>
      <c r="D27" s="10">
        <v>342</v>
      </c>
      <c r="E27" s="11">
        <v>2374.48</v>
      </c>
      <c r="F27" s="11">
        <v>40321.980000000003</v>
      </c>
      <c r="G27" s="11">
        <v>-8599.39</v>
      </c>
      <c r="H27" s="11">
        <v>28817.119999999999</v>
      </c>
      <c r="I27" s="11">
        <v>-41585.599999999999</v>
      </c>
      <c r="J27" s="11">
        <v>1854.94</v>
      </c>
      <c r="K27" s="11">
        <v>-13756.75</v>
      </c>
      <c r="L27" s="11">
        <v>1203.8499999999999</v>
      </c>
      <c r="M27" s="11">
        <v>0</v>
      </c>
      <c r="N27" s="11">
        <v>682.59</v>
      </c>
      <c r="O27" s="11">
        <v>0</v>
      </c>
      <c r="P27" s="11">
        <v>0</v>
      </c>
      <c r="Q27" s="12">
        <f t="shared" si="6"/>
        <v>11313.220000000003</v>
      </c>
    </row>
    <row r="28" spans="1:17" ht="13.5" thickBot="1" x14ac:dyDescent="0.25">
      <c r="A28" s="14"/>
      <c r="B28" s="21"/>
      <c r="C28" s="9" t="s">
        <v>24</v>
      </c>
      <c r="D28" s="10">
        <v>342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3649.54</v>
      </c>
      <c r="M28" s="11">
        <v>171.96</v>
      </c>
      <c r="N28" s="11">
        <v>926.71</v>
      </c>
      <c r="O28" s="11">
        <v>0</v>
      </c>
      <c r="P28" s="11">
        <v>0</v>
      </c>
      <c r="Q28" s="12">
        <f t="shared" si="6"/>
        <v>4748.21</v>
      </c>
    </row>
    <row r="29" spans="1:17" ht="13.5" thickBot="1" x14ac:dyDescent="0.25">
      <c r="A29" s="14"/>
      <c r="B29" s="21"/>
      <c r="C29" s="9" t="s">
        <v>32</v>
      </c>
      <c r="D29" s="10">
        <v>342</v>
      </c>
      <c r="E29" s="11">
        <v>15160.62</v>
      </c>
      <c r="F29" s="11">
        <v>16398.61</v>
      </c>
      <c r="G29" s="11">
        <v>16404.62</v>
      </c>
      <c r="H29" s="11">
        <v>16404.61</v>
      </c>
      <c r="I29" s="11">
        <v>16404.62</v>
      </c>
      <c r="J29" s="11">
        <v>16406.86</v>
      </c>
      <c r="K29" s="11">
        <v>16405.740000000002</v>
      </c>
      <c r="L29" s="11">
        <v>16405.740000000002</v>
      </c>
      <c r="M29" s="11">
        <v>16405.739999999998</v>
      </c>
      <c r="N29" s="11">
        <v>16418.29</v>
      </c>
      <c r="O29" s="11">
        <v>0</v>
      </c>
      <c r="P29" s="11">
        <v>0</v>
      </c>
      <c r="Q29" s="12">
        <f t="shared" si="6"/>
        <v>162815.45000000001</v>
      </c>
    </row>
    <row r="30" spans="1:17" ht="13.5" thickBot="1" x14ac:dyDescent="0.25">
      <c r="A30" s="14"/>
      <c r="B30" s="21"/>
      <c r="C30" s="9" t="s">
        <v>33</v>
      </c>
      <c r="D30" s="10">
        <v>342</v>
      </c>
      <c r="E30" s="11">
        <v>4749.0600000000004</v>
      </c>
      <c r="F30" s="11">
        <v>1400.99</v>
      </c>
      <c r="G30" s="11">
        <v>15656</v>
      </c>
      <c r="H30" s="11">
        <v>8416.9500000000007</v>
      </c>
      <c r="I30" s="11">
        <v>2064.1</v>
      </c>
      <c r="J30" s="11">
        <v>5301.15</v>
      </c>
      <c r="K30" s="11">
        <v>7957.66</v>
      </c>
      <c r="L30" s="11">
        <v>3177.31</v>
      </c>
      <c r="M30" s="11">
        <v>10468.35</v>
      </c>
      <c r="N30" s="11">
        <v>7348.85</v>
      </c>
      <c r="O30" s="11">
        <v>0</v>
      </c>
      <c r="P30" s="11">
        <v>0</v>
      </c>
      <c r="Q30" s="12">
        <f t="shared" si="6"/>
        <v>66540.42</v>
      </c>
    </row>
    <row r="31" spans="1:17" ht="13.5" thickBot="1" x14ac:dyDescent="0.25">
      <c r="A31" s="14"/>
      <c r="B31" s="21"/>
      <c r="C31" s="9" t="s">
        <v>25</v>
      </c>
      <c r="D31" s="10">
        <v>342</v>
      </c>
      <c r="E31" s="11">
        <v>-2593.98</v>
      </c>
      <c r="F31" s="11">
        <v>-27233.14</v>
      </c>
      <c r="G31" s="11">
        <v>-2856.65</v>
      </c>
      <c r="H31" s="11">
        <v>-27994.93</v>
      </c>
      <c r="I31" s="11">
        <v>66441.350000000006</v>
      </c>
      <c r="J31" s="11">
        <v>1437.9199999999983</v>
      </c>
      <c r="K31" s="11">
        <v>3772.14</v>
      </c>
      <c r="L31" s="11">
        <v>7783.43</v>
      </c>
      <c r="M31" s="11">
        <v>6032.63</v>
      </c>
      <c r="N31" s="11">
        <v>7850.5</v>
      </c>
      <c r="O31" s="11">
        <v>0</v>
      </c>
      <c r="P31" s="11">
        <v>0</v>
      </c>
      <c r="Q31" s="12">
        <f t="shared" si="6"/>
        <v>32639.270000000008</v>
      </c>
    </row>
    <row r="32" spans="1:17" ht="12.75" customHeight="1" thickBot="1" x14ac:dyDescent="0.25">
      <c r="A32" s="14"/>
      <c r="B32" s="21"/>
      <c r="C32" s="9" t="s">
        <v>26</v>
      </c>
      <c r="D32" s="10">
        <v>342</v>
      </c>
      <c r="E32" s="11">
        <v>19462.93</v>
      </c>
      <c r="F32" s="11">
        <v>39299.57</v>
      </c>
      <c r="G32" s="11">
        <v>-6610.57</v>
      </c>
      <c r="H32" s="11">
        <v>0</v>
      </c>
      <c r="I32" s="11">
        <v>855.29</v>
      </c>
      <c r="J32" s="11">
        <v>0</v>
      </c>
      <c r="K32" s="11">
        <v>5746.83</v>
      </c>
      <c r="L32" s="11">
        <v>-3971.04</v>
      </c>
      <c r="M32" s="11">
        <v>2855.29</v>
      </c>
      <c r="N32" s="11">
        <v>1758.35</v>
      </c>
      <c r="O32" s="11">
        <v>0</v>
      </c>
      <c r="P32" s="11">
        <v>0</v>
      </c>
      <c r="Q32" s="12">
        <f t="shared" si="6"/>
        <v>59396.65</v>
      </c>
    </row>
    <row r="33" spans="1:19" ht="12.75" customHeight="1" thickBot="1" x14ac:dyDescent="0.25">
      <c r="A33" s="23"/>
      <c r="B33" s="15" t="s">
        <v>29</v>
      </c>
      <c r="C33" s="16"/>
      <c r="D33" s="17"/>
      <c r="E33" s="18">
        <f>SUM(E22:E32)</f>
        <v>156513.71</v>
      </c>
      <c r="F33" s="18">
        <f t="shared" ref="F33:Q33" si="7">SUM(F22:F32)</f>
        <v>230625.89</v>
      </c>
      <c r="G33" s="18">
        <f t="shared" si="7"/>
        <v>161761.36000000002</v>
      </c>
      <c r="H33" s="18">
        <f t="shared" si="7"/>
        <v>133250.19</v>
      </c>
      <c r="I33" s="18">
        <f t="shared" si="7"/>
        <v>164159.36000000002</v>
      </c>
      <c r="J33" s="18">
        <f t="shared" si="7"/>
        <v>159029.16999999998</v>
      </c>
      <c r="K33" s="18">
        <f t="shared" si="7"/>
        <v>174752.41999999998</v>
      </c>
      <c r="L33" s="18">
        <f t="shared" si="7"/>
        <v>157039.16999999998</v>
      </c>
      <c r="M33" s="18">
        <f t="shared" si="7"/>
        <v>208295.57</v>
      </c>
      <c r="N33" s="18">
        <f t="shared" si="7"/>
        <v>115813.41</v>
      </c>
      <c r="O33" s="18">
        <f t="shared" si="7"/>
        <v>0</v>
      </c>
      <c r="P33" s="18">
        <f t="shared" si="7"/>
        <v>0</v>
      </c>
      <c r="Q33" s="19">
        <f t="shared" si="7"/>
        <v>1661240.2499999998</v>
      </c>
    </row>
    <row r="34" spans="1:19" ht="12.75" customHeight="1" thickBot="1" x14ac:dyDescent="0.25">
      <c r="A34" s="24" t="s">
        <v>30</v>
      </c>
      <c r="B34" s="16"/>
      <c r="C34" s="16"/>
      <c r="D34" s="17"/>
      <c r="E34" s="18">
        <f>+E33+E21</f>
        <v>7207.5</v>
      </c>
      <c r="F34" s="18">
        <f t="shared" ref="F34:Q34" si="8">+F33+F21</f>
        <v>135145.85000000003</v>
      </c>
      <c r="G34" s="18">
        <f t="shared" si="8"/>
        <v>73616.49000000002</v>
      </c>
      <c r="H34" s="18">
        <f t="shared" si="8"/>
        <v>12870.11</v>
      </c>
      <c r="I34" s="18">
        <f t="shared" si="8"/>
        <v>74776.62000000001</v>
      </c>
      <c r="J34" s="18">
        <f t="shared" si="8"/>
        <v>73987.639999999985</v>
      </c>
      <c r="K34" s="18">
        <f t="shared" si="8"/>
        <v>106534.61999999998</v>
      </c>
      <c r="L34" s="18">
        <f t="shared" si="8"/>
        <v>70375.799999999988</v>
      </c>
      <c r="M34" s="18">
        <f t="shared" si="8"/>
        <v>53412.75</v>
      </c>
      <c r="N34" s="18">
        <f t="shared" si="8"/>
        <v>-86287.549999999988</v>
      </c>
      <c r="O34" s="18">
        <f t="shared" si="8"/>
        <v>0</v>
      </c>
      <c r="P34" s="18">
        <f t="shared" si="8"/>
        <v>0</v>
      </c>
      <c r="Q34" s="19">
        <f t="shared" si="8"/>
        <v>521639.82999999961</v>
      </c>
    </row>
    <row r="35" spans="1:19" ht="12.75" customHeight="1" thickBot="1" x14ac:dyDescent="0.25">
      <c r="A35" s="26" t="s">
        <v>45</v>
      </c>
      <c r="B35" s="27"/>
      <c r="C35" s="27"/>
      <c r="D35" s="28"/>
      <c r="E35" s="29">
        <f>+E34+E19</f>
        <v>38328.949999999953</v>
      </c>
      <c r="F35" s="29">
        <f t="shared" ref="F35:Q35" si="9">+F34+F19</f>
        <v>474140.69000000035</v>
      </c>
      <c r="G35" s="29">
        <f t="shared" si="9"/>
        <v>129775.73000000001</v>
      </c>
      <c r="H35" s="29">
        <f t="shared" si="9"/>
        <v>115242.08999999975</v>
      </c>
      <c r="I35" s="29">
        <f t="shared" si="9"/>
        <v>-213740.82000000018</v>
      </c>
      <c r="J35" s="29">
        <f t="shared" si="9"/>
        <v>-101672.74000000014</v>
      </c>
      <c r="K35" s="29">
        <f t="shared" si="9"/>
        <v>-160415.67999999982</v>
      </c>
      <c r="L35" s="29">
        <f t="shared" si="9"/>
        <v>31184.159999999858</v>
      </c>
      <c r="M35" s="29">
        <f t="shared" si="9"/>
        <v>358634.74999999977</v>
      </c>
      <c r="N35" s="29">
        <f t="shared" si="9"/>
        <v>-467314.06999999954</v>
      </c>
      <c r="O35" s="29">
        <f t="shared" si="9"/>
        <v>0</v>
      </c>
      <c r="P35" s="29">
        <f t="shared" si="9"/>
        <v>0</v>
      </c>
      <c r="Q35" s="30">
        <f t="shared" si="9"/>
        <v>204163.06000000378</v>
      </c>
    </row>
    <row r="36" spans="1:19" ht="12.75" customHeight="1" thickBot="1" x14ac:dyDescent="0.25">
      <c r="A36" s="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3"/>
    </row>
    <row r="39" spans="1:19" ht="12.75" customHeight="1" x14ac:dyDescent="0.2">
      <c r="M39" s="54"/>
      <c r="N39" s="54"/>
      <c r="O39" s="55"/>
      <c r="Q39" s="54"/>
    </row>
    <row r="40" spans="1:19" ht="12.75" customHeight="1" x14ac:dyDescent="0.2">
      <c r="B40" t="s">
        <v>35</v>
      </c>
      <c r="E40" s="33">
        <v>1116025.45</v>
      </c>
      <c r="F40" s="33">
        <v>788028.27999999991</v>
      </c>
      <c r="G40" s="33">
        <v>923829.66999999981</v>
      </c>
      <c r="H40" s="33">
        <v>744578.12999999989</v>
      </c>
      <c r="I40" s="33">
        <v>770675.92</v>
      </c>
      <c r="J40" s="33">
        <v>659218.24999999988</v>
      </c>
      <c r="K40" s="33">
        <f>2772566.3/2</f>
        <v>1386283.15</v>
      </c>
      <c r="L40" s="33">
        <f>2772566.3/2</f>
        <v>1386283.15</v>
      </c>
      <c r="M40" s="33">
        <v>3023481.1100000003</v>
      </c>
      <c r="N40" s="33">
        <v>779256.31000000238</v>
      </c>
      <c r="O40" s="33"/>
      <c r="P40" s="33"/>
      <c r="Q40" s="31">
        <f t="shared" ref="Q40:Q41" si="10">SUM(E40:P40)</f>
        <v>11577659.420000002</v>
      </c>
      <c r="S40" s="32"/>
    </row>
    <row r="41" spans="1:19" ht="12.75" customHeight="1" x14ac:dyDescent="0.2">
      <c r="B41" t="s">
        <v>34</v>
      </c>
      <c r="E41" s="33">
        <v>419897.83</v>
      </c>
      <c r="F41" s="33">
        <v>378109.18000000005</v>
      </c>
      <c r="G41" s="33">
        <v>379854.49</v>
      </c>
      <c r="H41" s="33">
        <v>423269.9</v>
      </c>
      <c r="I41" s="33">
        <v>456971.23999999993</v>
      </c>
      <c r="J41" s="33">
        <v>516135.88</v>
      </c>
      <c r="K41" s="33">
        <v>571035.34000000032</v>
      </c>
      <c r="L41" s="33">
        <v>571035.34000000032</v>
      </c>
      <c r="M41" s="33">
        <v>609284.85</v>
      </c>
      <c r="N41" s="33">
        <f>-25183.16+619599.93</f>
        <v>594416.77</v>
      </c>
      <c r="O41" s="33"/>
      <c r="P41" s="33"/>
      <c r="Q41" s="31">
        <f t="shared" si="10"/>
        <v>4920010.82</v>
      </c>
      <c r="R41" s="56"/>
      <c r="S41" s="56"/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9FD24-D633-4717-82E6-4B332D154355}">
  <dimension ref="A8:W35"/>
  <sheetViews>
    <sheetView workbookViewId="0">
      <selection activeCell="K12" sqref="K12"/>
    </sheetView>
  </sheetViews>
  <sheetFormatPr defaultRowHeight="12.75" x14ac:dyDescent="0.2"/>
  <cols>
    <col min="9" max="9" width="9.5703125" bestFit="1" customWidth="1"/>
    <col min="14" max="18" width="9.42578125" bestFit="1" customWidth="1"/>
    <col min="19" max="19" width="10.5703125" bestFit="1" customWidth="1"/>
    <col min="23" max="23" width="10.140625" bestFit="1" customWidth="1"/>
  </cols>
  <sheetData>
    <row r="8" spans="1:23" x14ac:dyDescent="0.2">
      <c r="A8" t="s">
        <v>72</v>
      </c>
    </row>
    <row r="9" spans="1:23" ht="13.5" thickBot="1" x14ac:dyDescent="0.25">
      <c r="B9" s="57" t="s">
        <v>73</v>
      </c>
      <c r="C9" s="57" t="s">
        <v>74</v>
      </c>
      <c r="D9" s="57" t="s">
        <v>75</v>
      </c>
      <c r="E9" s="57" t="s">
        <v>76</v>
      </c>
      <c r="F9" s="57" t="s">
        <v>77</v>
      </c>
      <c r="G9" s="57" t="s">
        <v>78</v>
      </c>
      <c r="H9" s="57" t="s">
        <v>79</v>
      </c>
      <c r="I9" s="58" t="s">
        <v>80</v>
      </c>
      <c r="J9" s="59" t="s">
        <v>81</v>
      </c>
      <c r="K9" s="59" t="s">
        <v>82</v>
      </c>
      <c r="L9" s="59" t="s">
        <v>83</v>
      </c>
      <c r="M9" s="59" t="s">
        <v>84</v>
      </c>
      <c r="N9" s="57" t="s">
        <v>85</v>
      </c>
      <c r="O9" s="57" t="s">
        <v>86</v>
      </c>
      <c r="P9" s="57" t="s">
        <v>87</v>
      </c>
      <c r="Q9" s="57" t="s">
        <v>88</v>
      </c>
      <c r="R9" s="57" t="s">
        <v>89</v>
      </c>
      <c r="S9" s="57" t="s">
        <v>90</v>
      </c>
      <c r="T9" s="57" t="s">
        <v>91</v>
      </c>
      <c r="U9" s="57" t="s">
        <v>92</v>
      </c>
      <c r="V9" s="57" t="s">
        <v>93</v>
      </c>
      <c r="W9" s="66">
        <v>45955</v>
      </c>
    </row>
    <row r="10" spans="1:23" s="31" customFormat="1" x14ac:dyDescent="0.2">
      <c r="A10" s="31" t="s">
        <v>94</v>
      </c>
      <c r="B10" s="60">
        <v>2257.1125699999993</v>
      </c>
      <c r="C10" s="60">
        <v>2198.8809000000001</v>
      </c>
      <c r="D10" s="60">
        <v>2074.0675900000006</v>
      </c>
      <c r="E10" s="60">
        <v>2191.6956500000001</v>
      </c>
      <c r="F10" s="60">
        <v>2193.1300500000002</v>
      </c>
      <c r="G10" s="60">
        <v>2025.5821599999999</v>
      </c>
      <c r="H10" s="60">
        <v>2061.5743199999997</v>
      </c>
      <c r="I10" s="61">
        <v>1987.5133000000003</v>
      </c>
      <c r="J10" s="60">
        <v>2166.1071599999996</v>
      </c>
      <c r="K10" s="60">
        <v>2352.7451499999997</v>
      </c>
      <c r="L10" s="60">
        <v>1904.4863799999996</v>
      </c>
      <c r="M10" s="60">
        <v>1868.0131899999992</v>
      </c>
      <c r="N10" s="62">
        <v>1906.9375199999997</v>
      </c>
      <c r="O10" s="62">
        <v>1767.0727900000002</v>
      </c>
      <c r="P10" s="62">
        <v>1608.7121299999999</v>
      </c>
      <c r="Q10" s="62">
        <v>1828.8514799999998</v>
      </c>
      <c r="R10" s="62">
        <v>2014.0510399999998</v>
      </c>
      <c r="S10" s="31">
        <v>1835.2004999999999</v>
      </c>
      <c r="T10" s="31">
        <f>+'[1]Equipment Analysis'!I22/1000</f>
        <v>2264.9595700000004</v>
      </c>
      <c r="U10" s="31">
        <f>+'[1]Equipment Analysis'!J22/1000</f>
        <v>1959.0694899999996</v>
      </c>
      <c r="V10" s="31">
        <f>+'[1]Equipment Analysis'!K22/1000</f>
        <v>2330.4025100000003</v>
      </c>
      <c r="W10" s="31">
        <f>+'Equipment Analysis'!L22/1000</f>
        <v>2340.4114900000004</v>
      </c>
    </row>
    <row r="11" spans="1:23" x14ac:dyDescent="0.2">
      <c r="A11" t="s">
        <v>95</v>
      </c>
      <c r="B11" s="63">
        <f t="shared" ref="B11:R11" si="0">+B10/B12</f>
        <v>42.622631583022262</v>
      </c>
      <c r="C11" s="63">
        <f t="shared" si="0"/>
        <v>26.529042369139226</v>
      </c>
      <c r="D11" s="63">
        <f t="shared" si="0"/>
        <v>27.034446419316929</v>
      </c>
      <c r="E11" s="63">
        <f t="shared" si="0"/>
        <v>32.6227713856184</v>
      </c>
      <c r="F11" s="63">
        <f t="shared" si="0"/>
        <v>23.05362714645922</v>
      </c>
      <c r="G11" s="63">
        <f t="shared" si="0"/>
        <v>23.268311751715199</v>
      </c>
      <c r="H11" s="63">
        <f t="shared" si="0"/>
        <v>26.076033276954277</v>
      </c>
      <c r="I11" s="63">
        <f t="shared" si="0"/>
        <v>16.114314628935013</v>
      </c>
      <c r="J11" s="63">
        <f t="shared" si="0"/>
        <v>21.004317017232001</v>
      </c>
      <c r="K11" s="63">
        <f t="shared" si="0"/>
        <v>17.635798552328641</v>
      </c>
      <c r="L11" s="63">
        <f t="shared" si="0"/>
        <v>22.05807134287997</v>
      </c>
      <c r="M11" s="63">
        <f t="shared" si="0"/>
        <v>24.676961827730903</v>
      </c>
      <c r="N11" s="63">
        <f t="shared" si="0"/>
        <v>24.550683566467324</v>
      </c>
      <c r="O11" s="63">
        <f t="shared" si="0"/>
        <v>30.490428608403075</v>
      </c>
      <c r="P11" s="63">
        <f t="shared" si="0"/>
        <v>27.405312607643445</v>
      </c>
      <c r="Q11" s="63">
        <f t="shared" si="0"/>
        <v>22.426973120763783</v>
      </c>
      <c r="R11" s="63">
        <f t="shared" si="0"/>
        <v>26.615324091504178</v>
      </c>
      <c r="S11" s="63">
        <v>27.133855685540691</v>
      </c>
      <c r="T11" s="64">
        <f>+T10/T12</f>
        <v>19.015997903081491</v>
      </c>
      <c r="U11" s="64">
        <f>+U10/U12</f>
        <v>20.382610265333881</v>
      </c>
      <c r="V11" s="64">
        <f>+V10/V12</f>
        <v>21.672063457861245</v>
      </c>
      <c r="W11" s="64">
        <f>+W10/W12</f>
        <v>20.627363406413782</v>
      </c>
    </row>
    <row r="12" spans="1:23" x14ac:dyDescent="0.2">
      <c r="A12" t="s">
        <v>96</v>
      </c>
      <c r="B12" s="31">
        <v>52.955729999999996</v>
      </c>
      <c r="C12" s="31">
        <v>82.885800000000003</v>
      </c>
      <c r="D12" s="31">
        <v>76.71944000000002</v>
      </c>
      <c r="E12" s="31">
        <v>67.182999999999979</v>
      </c>
      <c r="F12" s="31">
        <v>95.13167</v>
      </c>
      <c r="G12" s="31">
        <v>87.053249999999949</v>
      </c>
      <c r="H12" s="31">
        <v>79.060120000000055</v>
      </c>
      <c r="I12" s="31">
        <v>123.33837000000005</v>
      </c>
      <c r="J12" s="31">
        <v>103.12675999999996</v>
      </c>
      <c r="K12" s="31">
        <v>133.40734999999998</v>
      </c>
      <c r="L12" s="31">
        <v>86.339659999999981</v>
      </c>
      <c r="M12" s="31">
        <v>75.698670000000035</v>
      </c>
      <c r="N12" s="31">
        <v>77.673500000000004</v>
      </c>
      <c r="O12" s="31">
        <v>57.954999999999998</v>
      </c>
      <c r="P12" s="31">
        <v>58.700740000000003</v>
      </c>
      <c r="Q12" s="31">
        <v>81.546960000000013</v>
      </c>
      <c r="R12" s="31">
        <v>75.672609999999992</v>
      </c>
      <c r="S12" s="31">
        <v>67.635080000000016</v>
      </c>
      <c r="T12" s="31">
        <f>(+'[1]Equipment Analysis'!I50+'[1]Equipment Analysis'!I52)/1000</f>
        <v>119.10811000000004</v>
      </c>
      <c r="U12" s="31">
        <f>(+'[1]Equipment Analysis'!J50+'[1]Equipment Analysis'!J52)/1000</f>
        <v>96.114750000000001</v>
      </c>
      <c r="V12" s="31">
        <f>(+'[1]Equipment Analysis'!K50+'[1]Equipment Analysis'!K52)/1000</f>
        <v>107.53025499999994</v>
      </c>
      <c r="W12" s="56">
        <f>(+'Equipment Analysis'!L50+'Equipment Analysis'!L52)/1000</f>
        <v>113.461495</v>
      </c>
    </row>
    <row r="14" spans="1:23" ht="13.5" thickBot="1" x14ac:dyDescent="0.25">
      <c r="B14" s="57" t="s">
        <v>73</v>
      </c>
      <c r="C14" s="57" t="s">
        <v>74</v>
      </c>
      <c r="D14" s="57" t="s">
        <v>75</v>
      </c>
      <c r="E14" s="57" t="s">
        <v>76</v>
      </c>
      <c r="F14" s="57" t="s">
        <v>77</v>
      </c>
      <c r="G14" s="57" t="s">
        <v>78</v>
      </c>
      <c r="H14" s="57" t="s">
        <v>79</v>
      </c>
      <c r="I14" s="58" t="s">
        <v>80</v>
      </c>
      <c r="J14" s="59" t="s">
        <v>81</v>
      </c>
      <c r="K14" s="59" t="s">
        <v>82</v>
      </c>
      <c r="L14" s="59" t="s">
        <v>83</v>
      </c>
      <c r="M14" s="59" t="s">
        <v>84</v>
      </c>
      <c r="N14" s="57" t="s">
        <v>85</v>
      </c>
      <c r="O14" s="57" t="s">
        <v>86</v>
      </c>
      <c r="P14" s="57" t="s">
        <v>87</v>
      </c>
      <c r="Q14" s="57" t="s">
        <v>88</v>
      </c>
      <c r="R14" s="57" t="s">
        <v>89</v>
      </c>
      <c r="S14" s="57" t="s">
        <v>90</v>
      </c>
      <c r="T14" s="57" t="s">
        <v>91</v>
      </c>
      <c r="U14" s="57" t="s">
        <v>92</v>
      </c>
      <c r="V14" s="57" t="s">
        <v>93</v>
      </c>
      <c r="W14" s="66">
        <v>45955</v>
      </c>
    </row>
    <row r="15" spans="1:23" s="31" customFormat="1" ht="13.5" thickBot="1" x14ac:dyDescent="0.25">
      <c r="A15" s="31" t="s">
        <v>94</v>
      </c>
      <c r="B15" s="31">
        <v>101.69859999999998</v>
      </c>
      <c r="C15" s="31">
        <v>153.64859000000001</v>
      </c>
      <c r="D15" s="31">
        <v>217.42003000000003</v>
      </c>
      <c r="E15" s="31">
        <v>195.91162</v>
      </c>
      <c r="F15" s="31">
        <v>154.84662</v>
      </c>
      <c r="G15" s="31">
        <v>116.96908000000002</v>
      </c>
      <c r="H15" s="31">
        <v>150.35441999999998</v>
      </c>
      <c r="I15" s="31">
        <v>100.10325999999999</v>
      </c>
      <c r="J15" s="31">
        <v>239.58982</v>
      </c>
      <c r="K15" s="31">
        <v>163.84440000000004</v>
      </c>
      <c r="L15" s="31">
        <v>168.67700999999997</v>
      </c>
      <c r="M15" s="31">
        <v>156.65853000000004</v>
      </c>
      <c r="N15" s="44">
        <v>156.51371</v>
      </c>
      <c r="O15" s="44">
        <v>230.62589000000003</v>
      </c>
      <c r="P15" s="44">
        <v>161.76136000000002</v>
      </c>
      <c r="Q15" s="44">
        <v>133.25019</v>
      </c>
      <c r="R15" s="44">
        <v>164.15936000000002</v>
      </c>
      <c r="S15" s="31">
        <v>159.02917000000002</v>
      </c>
      <c r="T15" s="31">
        <f>+'[1]Equipment Analysis'!I39/1000</f>
        <v>174.75241999999997</v>
      </c>
      <c r="U15" s="31">
        <f>+'[1]Equipment Analysis'!J39/1000</f>
        <v>157.03916999999998</v>
      </c>
      <c r="V15" s="31">
        <f>+'[1]Equipment Analysis'!K39/1000</f>
        <v>208.29557</v>
      </c>
      <c r="W15" s="31">
        <f>+'Equipment Analysis'!L39/1000</f>
        <v>115.81341</v>
      </c>
    </row>
    <row r="16" spans="1:23" ht="13.5" thickTop="1" x14ac:dyDescent="0.2">
      <c r="A16" t="s">
        <v>95</v>
      </c>
      <c r="B16" s="65">
        <f>+B15/B17</f>
        <v>11.628012805854102</v>
      </c>
      <c r="C16" s="65">
        <f t="shared" ref="C16:R16" si="1">+C15/C17</f>
        <v>14.180110747081354</v>
      </c>
      <c r="D16" s="65">
        <f t="shared" si="1"/>
        <v>26.777514625284809</v>
      </c>
      <c r="E16" s="65">
        <f t="shared" si="1"/>
        <v>26.444168185192684</v>
      </c>
      <c r="F16" s="65">
        <f t="shared" si="1"/>
        <v>16.009782878411912</v>
      </c>
      <c r="G16" s="65">
        <f t="shared" si="1"/>
        <v>14.690916855061545</v>
      </c>
      <c r="H16" s="65">
        <f t="shared" si="1"/>
        <v>16.841716045925509</v>
      </c>
      <c r="I16" s="65">
        <f t="shared" si="1"/>
        <v>7.7171691785838172</v>
      </c>
      <c r="J16" s="65">
        <f t="shared" si="1"/>
        <v>23.952993751562111</v>
      </c>
      <c r="K16" s="65">
        <f t="shared" si="1"/>
        <v>13.832660039257902</v>
      </c>
      <c r="L16" s="65">
        <f t="shared" si="1"/>
        <v>14.976206161768619</v>
      </c>
      <c r="M16" s="65">
        <f t="shared" si="1"/>
        <v>16.014979554283382</v>
      </c>
      <c r="N16" s="65">
        <f t="shared" si="1"/>
        <v>11.750719621607418</v>
      </c>
      <c r="O16" s="65">
        <f t="shared" si="1"/>
        <v>24.036675265118948</v>
      </c>
      <c r="P16" s="65">
        <f t="shared" si="1"/>
        <v>16.82297956424523</v>
      </c>
      <c r="Q16" s="65">
        <f t="shared" si="1"/>
        <v>10.264621962022879</v>
      </c>
      <c r="R16" s="65">
        <f t="shared" si="1"/>
        <v>20.416561159131899</v>
      </c>
      <c r="S16" s="65">
        <v>16.698289946743291</v>
      </c>
      <c r="T16" s="64">
        <f>+T15/T17</f>
        <v>15.430432010793636</v>
      </c>
      <c r="U16" s="64">
        <f>+U15/U17</f>
        <v>18.718537457536204</v>
      </c>
      <c r="V16" s="64">
        <f>+V15/V17</f>
        <v>18.576290156586392</v>
      </c>
      <c r="W16" s="64">
        <f>+W15/W17</f>
        <v>12.590768056636678</v>
      </c>
    </row>
    <row r="17" spans="1:23" x14ac:dyDescent="0.2">
      <c r="A17" t="s">
        <v>96</v>
      </c>
      <c r="B17" s="56">
        <v>8.7460000000000004</v>
      </c>
      <c r="C17" s="56">
        <v>10.8355</v>
      </c>
      <c r="D17" s="56">
        <v>8.1195000000000004</v>
      </c>
      <c r="E17" s="56">
        <v>7.4085000000000001</v>
      </c>
      <c r="F17" s="56">
        <v>9.6720000000000006</v>
      </c>
      <c r="G17" s="56">
        <v>7.9619999999999997</v>
      </c>
      <c r="H17" s="56">
        <v>8.9275000000000002</v>
      </c>
      <c r="I17" s="56">
        <v>12.971500000000001</v>
      </c>
      <c r="J17" s="56">
        <v>10.0025</v>
      </c>
      <c r="K17" s="56">
        <v>11.844749999999999</v>
      </c>
      <c r="L17" s="56">
        <v>11.263</v>
      </c>
      <c r="M17" s="56">
        <v>9.782</v>
      </c>
      <c r="N17" s="56">
        <v>13.3195</v>
      </c>
      <c r="O17" s="56">
        <v>9.5947499999999994</v>
      </c>
      <c r="P17" s="56">
        <v>9.6155000000000008</v>
      </c>
      <c r="Q17" s="56">
        <v>12.9815</v>
      </c>
      <c r="R17" s="56">
        <v>8.0404999999999998</v>
      </c>
      <c r="S17" s="56">
        <v>9.5236799999999935</v>
      </c>
      <c r="T17" s="56">
        <f>+'[1]Equipment Analysis'!I51/1000</f>
        <v>11.325180000000007</v>
      </c>
      <c r="U17" s="56">
        <f>+'[1]Equipment Analysis'!J51/1000</f>
        <v>8.3895</v>
      </c>
      <c r="V17" s="56">
        <f>+'[1]Equipment Analysis'!K51/1000</f>
        <v>11.212979999999996</v>
      </c>
      <c r="W17" s="56">
        <f>+'Equipment Analysis'!L51/1000</f>
        <v>9.1982799999999987</v>
      </c>
    </row>
    <row r="19" spans="1:23" x14ac:dyDescent="0.2">
      <c r="B19">
        <f>+B15/1000</f>
        <v>0.10169859999999999</v>
      </c>
      <c r="C19">
        <f t="shared" ref="C19:R19" si="2">+C15/1000</f>
        <v>0.15364859</v>
      </c>
      <c r="D19">
        <f t="shared" si="2"/>
        <v>0.21742003000000001</v>
      </c>
      <c r="E19">
        <f t="shared" si="2"/>
        <v>0.19591162000000001</v>
      </c>
      <c r="F19">
        <f t="shared" si="2"/>
        <v>0.15484661999999999</v>
      </c>
      <c r="G19">
        <f t="shared" si="2"/>
        <v>0.11696908000000002</v>
      </c>
      <c r="H19">
        <f t="shared" si="2"/>
        <v>0.15035441999999999</v>
      </c>
      <c r="I19">
        <f t="shared" si="2"/>
        <v>0.10010325999999999</v>
      </c>
      <c r="J19">
        <f t="shared" si="2"/>
        <v>0.23958982000000001</v>
      </c>
      <c r="K19">
        <f t="shared" si="2"/>
        <v>0.16384440000000003</v>
      </c>
      <c r="L19">
        <f t="shared" si="2"/>
        <v>0.16867700999999996</v>
      </c>
      <c r="M19">
        <f t="shared" si="2"/>
        <v>0.15665853000000005</v>
      </c>
      <c r="N19">
        <f t="shared" si="2"/>
        <v>0.15651371</v>
      </c>
      <c r="O19">
        <f t="shared" si="2"/>
        <v>0.23062589000000003</v>
      </c>
      <c r="P19">
        <f t="shared" si="2"/>
        <v>0.16176136000000002</v>
      </c>
      <c r="Q19">
        <f t="shared" si="2"/>
        <v>0.13325018999999999</v>
      </c>
      <c r="R19">
        <f t="shared" si="2"/>
        <v>0.16415936000000003</v>
      </c>
    </row>
    <row r="20" spans="1:23" x14ac:dyDescent="0.2">
      <c r="B20">
        <f>+B17/1000</f>
        <v>8.7460000000000003E-3</v>
      </c>
      <c r="C20">
        <f t="shared" ref="C20:R20" si="3">+C17/1000</f>
        <v>1.08355E-2</v>
      </c>
      <c r="D20">
        <f t="shared" si="3"/>
        <v>8.1195E-3</v>
      </c>
      <c r="E20">
        <f t="shared" si="3"/>
        <v>7.4085000000000002E-3</v>
      </c>
      <c r="F20">
        <f t="shared" si="3"/>
        <v>9.672E-3</v>
      </c>
      <c r="G20">
        <f t="shared" si="3"/>
        <v>7.9620000000000003E-3</v>
      </c>
      <c r="H20">
        <f t="shared" si="3"/>
        <v>8.9274999999999997E-3</v>
      </c>
      <c r="I20">
        <f t="shared" si="3"/>
        <v>1.29715E-2</v>
      </c>
      <c r="J20">
        <f t="shared" si="3"/>
        <v>1.0002499999999999E-2</v>
      </c>
      <c r="K20">
        <f t="shared" si="3"/>
        <v>1.1844749999999999E-2</v>
      </c>
      <c r="L20">
        <f t="shared" si="3"/>
        <v>1.1263E-2</v>
      </c>
      <c r="M20">
        <f t="shared" si="3"/>
        <v>9.7820000000000008E-3</v>
      </c>
      <c r="N20">
        <f t="shared" si="3"/>
        <v>1.33195E-2</v>
      </c>
      <c r="O20">
        <f t="shared" si="3"/>
        <v>9.5947499999999991E-3</v>
      </c>
      <c r="P20">
        <f t="shared" si="3"/>
        <v>9.6155000000000008E-3</v>
      </c>
      <c r="Q20">
        <f t="shared" si="3"/>
        <v>1.29815E-2</v>
      </c>
      <c r="R20">
        <f t="shared" si="3"/>
        <v>8.040499999999999E-3</v>
      </c>
    </row>
    <row r="26" spans="1:23" x14ac:dyDescent="0.2">
      <c r="A26" s="31"/>
      <c r="B26" t="s">
        <v>97</v>
      </c>
      <c r="C26" t="s">
        <v>98</v>
      </c>
      <c r="D26" t="s">
        <v>99</v>
      </c>
      <c r="E26" t="s">
        <v>100</v>
      </c>
      <c r="F26" t="s">
        <v>101</v>
      </c>
      <c r="G26" t="s">
        <v>102</v>
      </c>
      <c r="H26" t="s">
        <v>103</v>
      </c>
      <c r="I26" s="66">
        <v>45955</v>
      </c>
    </row>
    <row r="27" spans="1:23" x14ac:dyDescent="0.2">
      <c r="A27" s="31" t="s">
        <v>94</v>
      </c>
      <c r="B27" s="32">
        <f>SUM(B10:D10)</f>
        <v>6530.06106</v>
      </c>
      <c r="C27" s="32">
        <f>SUM(E10:G10)</f>
        <v>6410.4078600000003</v>
      </c>
      <c r="D27" s="32">
        <f>SUM(H10:J10)</f>
        <v>6215.1947799999998</v>
      </c>
      <c r="E27" s="32">
        <f>SUM(K10:M10)</f>
        <v>6125.2447199999988</v>
      </c>
      <c r="F27" s="32">
        <f>SUM(N10:P10)</f>
        <v>5282.7224399999996</v>
      </c>
      <c r="G27" s="32">
        <f>SUM(Q10:S10)</f>
        <v>5678.1030199999996</v>
      </c>
      <c r="H27" s="32">
        <f>SUM(T10:V10)</f>
        <v>6554.4315700000006</v>
      </c>
      <c r="I27" s="32">
        <f>+W10</f>
        <v>2340.4114900000004</v>
      </c>
    </row>
    <row r="28" spans="1:23" x14ac:dyDescent="0.2">
      <c r="A28" t="s">
        <v>95</v>
      </c>
      <c r="B28" s="65">
        <f>+B27/B29</f>
        <v>30.720884741916635</v>
      </c>
      <c r="C28" s="65">
        <f t="shared" ref="C28:H28" si="4">+C27/C29</f>
        <v>25.706626016690528</v>
      </c>
      <c r="D28" s="65">
        <f t="shared" si="4"/>
        <v>20.342655083335991</v>
      </c>
      <c r="E28" s="65">
        <f t="shared" si="4"/>
        <v>20.732219608017282</v>
      </c>
      <c r="F28" s="65">
        <f t="shared" si="4"/>
        <v>27.18439304347611</v>
      </c>
      <c r="G28" s="65">
        <f t="shared" si="4"/>
        <v>25.252326425092829</v>
      </c>
      <c r="H28" s="65">
        <f t="shared" si="4"/>
        <v>20.307880126888943</v>
      </c>
      <c r="I28" s="65">
        <f t="shared" ref="I28:I29" si="5">+W11</f>
        <v>20.627363406413782</v>
      </c>
    </row>
    <row r="29" spans="1:23" x14ac:dyDescent="0.2">
      <c r="A29" t="s">
        <v>96</v>
      </c>
      <c r="B29" s="32">
        <f>SUM(B12:D12)</f>
        <v>212.56097000000003</v>
      </c>
      <c r="C29" s="32">
        <f>SUM(E12:G12)</f>
        <v>249.36791999999991</v>
      </c>
      <c r="D29" s="32">
        <f>SUM(H12:J12)</f>
        <v>305.52525000000003</v>
      </c>
      <c r="E29" s="32">
        <f>SUM(K12:M12)</f>
        <v>295.44567999999998</v>
      </c>
      <c r="F29" s="32">
        <f>SUM(N12:P12)</f>
        <v>194.32924</v>
      </c>
      <c r="G29" s="32">
        <f>SUM(Q12:S12)</f>
        <v>224.85465000000002</v>
      </c>
      <c r="H29" s="32">
        <f>SUM(T12:V12)</f>
        <v>322.75311499999998</v>
      </c>
      <c r="I29" s="32">
        <f t="shared" si="5"/>
        <v>113.461495</v>
      </c>
    </row>
    <row r="32" spans="1:23" x14ac:dyDescent="0.2">
      <c r="A32" s="31"/>
      <c r="B32" t="s">
        <v>97</v>
      </c>
      <c r="C32" t="s">
        <v>98</v>
      </c>
      <c r="D32" t="s">
        <v>99</v>
      </c>
      <c r="E32" t="s">
        <v>100</v>
      </c>
      <c r="F32" t="s">
        <v>101</v>
      </c>
      <c r="G32" t="s">
        <v>102</v>
      </c>
      <c r="H32" t="s">
        <v>103</v>
      </c>
      <c r="I32" s="66">
        <v>45955</v>
      </c>
    </row>
    <row r="33" spans="1:9" x14ac:dyDescent="0.2">
      <c r="A33" s="31" t="s">
        <v>94</v>
      </c>
      <c r="B33" s="32">
        <f>SUM(B15:D15)</f>
        <v>472.76722000000007</v>
      </c>
      <c r="C33" s="32">
        <f>SUM(E15:G15)</f>
        <v>467.72732000000002</v>
      </c>
      <c r="D33" s="32">
        <f>SUM(H15:J15)</f>
        <v>490.04750000000001</v>
      </c>
      <c r="E33" s="32">
        <f>SUM(K15:M15)</f>
        <v>489.17994000000004</v>
      </c>
      <c r="F33" s="32">
        <f>SUM(N15:P15)</f>
        <v>548.90096000000005</v>
      </c>
      <c r="G33" s="32">
        <f>SUM(Q15:S15)</f>
        <v>456.43872000000005</v>
      </c>
      <c r="H33" s="32">
        <f>SUM(T15:V15)</f>
        <v>540.08715999999993</v>
      </c>
      <c r="I33" s="32">
        <f>+W15</f>
        <v>115.81341</v>
      </c>
    </row>
    <row r="34" spans="1:9" x14ac:dyDescent="0.2">
      <c r="A34" t="s">
        <v>95</v>
      </c>
      <c r="B34" s="65">
        <f>+B33/B35</f>
        <v>17.06679253456554</v>
      </c>
      <c r="C34" s="65">
        <f t="shared" ref="C34:H34" si="6">+C33/C35</f>
        <v>18.677341319756415</v>
      </c>
      <c r="D34" s="65">
        <f t="shared" si="6"/>
        <v>15.361268278921054</v>
      </c>
      <c r="E34" s="65">
        <f t="shared" si="6"/>
        <v>14.873324972065767</v>
      </c>
      <c r="F34" s="65">
        <f t="shared" si="6"/>
        <v>16.873814277699648</v>
      </c>
      <c r="G34" s="65">
        <f t="shared" si="6"/>
        <v>14.942823993441959</v>
      </c>
      <c r="H34" s="65">
        <f t="shared" si="6"/>
        <v>17.462917013443626</v>
      </c>
      <c r="I34" s="65">
        <f t="shared" ref="I34:I35" si="7">+W16</f>
        <v>12.590768056636678</v>
      </c>
    </row>
    <row r="35" spans="1:9" x14ac:dyDescent="0.2">
      <c r="A35" t="s">
        <v>96</v>
      </c>
      <c r="B35" s="32">
        <f>SUM(B17:D17)</f>
        <v>27.701000000000001</v>
      </c>
      <c r="C35" s="32">
        <f>SUM(E17:G17)</f>
        <v>25.0425</v>
      </c>
      <c r="D35" s="32">
        <f>SUM(H17:J17)</f>
        <v>31.901499999999999</v>
      </c>
      <c r="E35" s="32">
        <f>SUM(K17:M17)</f>
        <v>32.889749999999999</v>
      </c>
      <c r="F35" s="32">
        <f>SUM(N17:P17)</f>
        <v>32.52975</v>
      </c>
      <c r="G35" s="32">
        <f>SUM(Q17:S17)</f>
        <v>30.54567999999999</v>
      </c>
      <c r="H35" s="32">
        <f>SUM(T17:V17)</f>
        <v>30.927660000000003</v>
      </c>
      <c r="I35" s="32">
        <f t="shared" si="7"/>
        <v>9.1982799999999987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Trend</vt:lpstr>
      <vt:lpstr>Equipment Analysis</vt:lpstr>
      <vt:lpstr>UCCo_IMC</vt:lpstr>
      <vt:lpstr>Graph Data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Liam, Davy</dc:creator>
  <cp:lastModifiedBy>Bowen, Jason</cp:lastModifiedBy>
  <cp:lastPrinted>2020-12-04T16:09:56Z</cp:lastPrinted>
  <dcterms:created xsi:type="dcterms:W3CDTF">2018-07-13T20:08:20Z</dcterms:created>
  <dcterms:modified xsi:type="dcterms:W3CDTF">2025-12-01T21:24:45Z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