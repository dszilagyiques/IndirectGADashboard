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Job Files\Business Review\Oct\"/>
    </mc:Choice>
  </mc:AlternateContent>
  <xr:revisionPtr revIDLastSave="0" documentId="13_ncr:1_{ACC9585D-6DBE-4D71-8B65-8B960571986E}" xr6:coauthVersionLast="47" xr6:coauthVersionMax="47" xr10:uidLastSave="{00000000-0000-0000-0000-000000000000}"/>
  <bookViews>
    <workbookView xWindow="-28920" yWindow="2190" windowWidth="29040" windowHeight="15720" xr2:uid="{00000000-000D-0000-FFFF-FFFF00000000}"/>
  </bookViews>
  <sheets>
    <sheet name="Sheet2" sheetId="6" r:id="rId1"/>
    <sheet name="Sheet1" sheetId="2" r:id="rId2"/>
    <sheet name="sept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" i="2" l="1"/>
  <c r="L39" i="2"/>
  <c r="L38" i="2"/>
  <c r="L37" i="2"/>
  <c r="L36" i="2"/>
  <c r="L35" i="2"/>
  <c r="L32" i="2"/>
  <c r="L30" i="2"/>
  <c r="L29" i="2"/>
  <c r="L28" i="2"/>
  <c r="L27" i="2"/>
  <c r="L23" i="2"/>
  <c r="L22" i="2"/>
  <c r="L21" i="2"/>
  <c r="L20" i="2"/>
  <c r="L19" i="2"/>
  <c r="L18" i="2"/>
  <c r="L13" i="2"/>
  <c r="L10" i="2"/>
  <c r="L8" i="2"/>
  <c r="L4" i="2"/>
  <c r="L9" i="2"/>
  <c r="L7" i="2"/>
  <c r="L6" i="2"/>
  <c r="L5" i="2"/>
  <c r="K13" i="2"/>
  <c r="B4" i="1"/>
  <c r="B10" i="1"/>
  <c r="I5" i="2"/>
  <c r="J5" i="2"/>
  <c r="K5" i="2"/>
  <c r="K32" i="2"/>
  <c r="J32" i="2"/>
  <c r="I32" i="2"/>
  <c r="H32" i="2"/>
  <c r="G32" i="2"/>
  <c r="F32" i="2"/>
  <c r="E32" i="2"/>
  <c r="D32" i="2"/>
  <c r="C32" i="2"/>
  <c r="I13" i="2"/>
  <c r="I23" i="2" s="1"/>
  <c r="I40" i="2" s="1"/>
  <c r="I10" i="2"/>
  <c r="I21" i="2" s="1"/>
  <c r="I38" i="2" s="1"/>
  <c r="I9" i="2"/>
  <c r="I8" i="2"/>
  <c r="I22" i="2" s="1"/>
  <c r="I39" i="2" s="1"/>
  <c r="I7" i="2"/>
  <c r="I6" i="2"/>
  <c r="I4" i="2"/>
  <c r="I18" i="2" s="1"/>
  <c r="I35" i="2" s="1"/>
  <c r="I19" i="2" l="1"/>
  <c r="I36" i="2" s="1"/>
  <c r="I20" i="2"/>
  <c r="I37" i="2" s="1"/>
  <c r="C11" i="2" l="1"/>
  <c r="C10" i="2"/>
  <c r="C21" i="2" s="1"/>
  <c r="C38" i="2" s="1"/>
  <c r="C9" i="2"/>
  <c r="C8" i="2"/>
  <c r="C22" i="2" s="1"/>
  <c r="C39" i="2" s="1"/>
  <c r="C7" i="2"/>
  <c r="C6" i="2"/>
  <c r="C5" i="2"/>
  <c r="C4" i="2"/>
  <c r="C18" i="2" s="1"/>
  <c r="C35" i="2" s="1"/>
  <c r="D12" i="2"/>
  <c r="D11" i="2"/>
  <c r="D10" i="2"/>
  <c r="D21" i="2" s="1"/>
  <c r="D38" i="2" s="1"/>
  <c r="D9" i="2"/>
  <c r="D8" i="2"/>
  <c r="D22" i="2" s="1"/>
  <c r="D39" i="2" s="1"/>
  <c r="D7" i="2"/>
  <c r="D6" i="2"/>
  <c r="D20" i="2" s="1"/>
  <c r="D37" i="2" s="1"/>
  <c r="D5" i="2"/>
  <c r="D4" i="2"/>
  <c r="D18" i="2" s="1"/>
  <c r="D35" i="2" s="1"/>
  <c r="E12" i="2"/>
  <c r="E11" i="2"/>
  <c r="E10" i="2"/>
  <c r="E21" i="2" s="1"/>
  <c r="E38" i="2" s="1"/>
  <c r="E9" i="2"/>
  <c r="E8" i="2"/>
  <c r="E22" i="2" s="1"/>
  <c r="E39" i="2" s="1"/>
  <c r="E7" i="2"/>
  <c r="E6" i="2"/>
  <c r="E20" i="2" s="1"/>
  <c r="E37" i="2" s="1"/>
  <c r="E5" i="2"/>
  <c r="E4" i="2"/>
  <c r="E18" i="2" s="1"/>
  <c r="E35" i="2" s="1"/>
  <c r="F12" i="2"/>
  <c r="F11" i="2"/>
  <c r="F10" i="2"/>
  <c r="F21" i="2" s="1"/>
  <c r="F38" i="2" s="1"/>
  <c r="F9" i="2"/>
  <c r="F8" i="2"/>
  <c r="F22" i="2" s="1"/>
  <c r="F39" i="2" s="1"/>
  <c r="F7" i="2"/>
  <c r="F6" i="2"/>
  <c r="F5" i="2"/>
  <c r="F4" i="2"/>
  <c r="F18" i="2" s="1"/>
  <c r="F35" i="2" s="1"/>
  <c r="G11" i="2"/>
  <c r="G10" i="2"/>
  <c r="G21" i="2" s="1"/>
  <c r="G38" i="2" s="1"/>
  <c r="G9" i="2"/>
  <c r="G8" i="2"/>
  <c r="G22" i="2" s="1"/>
  <c r="G39" i="2" s="1"/>
  <c r="G7" i="2"/>
  <c r="G6" i="2"/>
  <c r="G5" i="2"/>
  <c r="G19" i="2" s="1"/>
  <c r="G36" i="2" s="1"/>
  <c r="G4" i="2"/>
  <c r="G18" i="2" s="1"/>
  <c r="G35" i="2" s="1"/>
  <c r="H11" i="2"/>
  <c r="H10" i="2"/>
  <c r="H21" i="2" s="1"/>
  <c r="H38" i="2" s="1"/>
  <c r="H9" i="2"/>
  <c r="H8" i="2"/>
  <c r="H22" i="2" s="1"/>
  <c r="H39" i="2" s="1"/>
  <c r="H7" i="2"/>
  <c r="H6" i="2"/>
  <c r="H5" i="2"/>
  <c r="H19" i="2" s="1"/>
  <c r="H36" i="2" s="1"/>
  <c r="H4" i="2"/>
  <c r="H18" i="2" s="1"/>
  <c r="H35" i="2" s="1"/>
  <c r="J10" i="2"/>
  <c r="J21" i="2" s="1"/>
  <c r="J38" i="2" s="1"/>
  <c r="J9" i="2"/>
  <c r="J8" i="2"/>
  <c r="J22" i="2" s="1"/>
  <c r="J39" i="2" s="1"/>
  <c r="J7" i="2"/>
  <c r="J6" i="2"/>
  <c r="J4" i="2"/>
  <c r="J18" i="2" s="1"/>
  <c r="J35" i="2" s="1"/>
  <c r="K10" i="2"/>
  <c r="K21" i="2" s="1"/>
  <c r="K38" i="2" s="1"/>
  <c r="K9" i="2"/>
  <c r="K8" i="2"/>
  <c r="K22" i="2" s="1"/>
  <c r="K39" i="2" s="1"/>
  <c r="K7" i="2"/>
  <c r="K6" i="2"/>
  <c r="K4" i="2"/>
  <c r="F13" i="2" l="1"/>
  <c r="F23" i="2" s="1"/>
  <c r="F40" i="2" s="1"/>
  <c r="F19" i="2"/>
  <c r="F36" i="2" s="1"/>
  <c r="K23" i="2"/>
  <c r="K40" i="2" s="1"/>
  <c r="K18" i="2"/>
  <c r="K35" i="2" s="1"/>
  <c r="J19" i="2"/>
  <c r="J36" i="2" s="1"/>
  <c r="H20" i="2"/>
  <c r="H37" i="2" s="1"/>
  <c r="G20" i="2"/>
  <c r="G37" i="2" s="1"/>
  <c r="F20" i="2"/>
  <c r="F37" i="2" s="1"/>
  <c r="E19" i="2"/>
  <c r="E36" i="2" s="1"/>
  <c r="J13" i="2"/>
  <c r="J23" i="2" s="1"/>
  <c r="J40" i="2" s="1"/>
  <c r="J20" i="2"/>
  <c r="J37" i="2" s="1"/>
  <c r="H13" i="2"/>
  <c r="H23" i="2" s="1"/>
  <c r="H40" i="2" s="1"/>
  <c r="K20" i="2"/>
  <c r="K37" i="2" s="1"/>
  <c r="C19" i="2"/>
  <c r="C36" i="2" s="1"/>
  <c r="K19" i="2"/>
  <c r="K36" i="2" s="1"/>
  <c r="G13" i="2"/>
  <c r="G23" i="2" s="1"/>
  <c r="G40" i="2" s="1"/>
  <c r="D19" i="2"/>
  <c r="D36" i="2" s="1"/>
  <c r="C20" i="2"/>
  <c r="C37" i="2" s="1"/>
  <c r="C13" i="2"/>
  <c r="C23" i="2" s="1"/>
  <c r="C40" i="2" s="1"/>
  <c r="D13" i="2"/>
  <c r="D23" i="2" s="1"/>
  <c r="D40" i="2" s="1"/>
  <c r="E13" i="2"/>
  <c r="E23" i="2" s="1"/>
  <c r="E40" i="2" s="1"/>
</calcChain>
</file>

<file path=xl/sharedStrings.xml><?xml version="1.0" encoding="utf-8"?>
<sst xmlns="http://schemas.openxmlformats.org/spreadsheetml/2006/main" count="219" uniqueCount="44">
  <si>
    <t>Division</t>
  </si>
  <si>
    <t>Total $</t>
  </si>
  <si>
    <t>Gals</t>
  </si>
  <si>
    <t>Elec</t>
  </si>
  <si>
    <t>Gas Tran</t>
  </si>
  <si>
    <t>So Cal</t>
  </si>
  <si>
    <t>Gas Dist</t>
  </si>
  <si>
    <t>Fuel</t>
  </si>
  <si>
    <t>Major Projects</t>
  </si>
  <si>
    <t>San Diego</t>
  </si>
  <si>
    <t>Total</t>
  </si>
  <si>
    <t>Applied filters:
Company Number is 1
Year is 2025
Included (1) 09/30/2025 (End of Month)</t>
  </si>
  <si>
    <t>Applied filters:
Company Number is 1
Year is 2025
Included (1) 08/31/2025 (End of Month)</t>
  </si>
  <si>
    <t>Applied filters:
Company Number is 1
Year is 2025
Included (1) 07/31/2025 (End of Month)</t>
  </si>
  <si>
    <t>Closed</t>
  </si>
  <si>
    <t>Applied filters:
Company Number is 1
Year is 2025
Included (1) 06/30/2025 (End of Month)</t>
  </si>
  <si>
    <t>Applied filters:
Company Number is 1
Year is 2025
Included (1) 05/31/2025 (End of Month)</t>
  </si>
  <si>
    <t>Safety</t>
  </si>
  <si>
    <t>Applied filters:
Company Number is 1
Year is 2025
Included (1) 04/30/2025 (End of Month)</t>
  </si>
  <si>
    <t>Applied filters:
Company Number is 1
Year is 2025
Included (1) 03/31/2025 (End of Month)</t>
  </si>
  <si>
    <t>Applied filters:
Company Number is 1
Year is 2025
Included (1) 02/28/2025 (End of Month)</t>
  </si>
  <si>
    <t>Applied filters:
Company Number is 1
Year is 2025
Included (1) 01/31/2025 (End of Month)</t>
  </si>
  <si>
    <t>Jan</t>
  </si>
  <si>
    <t>Feb</t>
  </si>
  <si>
    <t>March</t>
  </si>
  <si>
    <t>April</t>
  </si>
  <si>
    <t>May</t>
  </si>
  <si>
    <t>June</t>
  </si>
  <si>
    <t>Aug</t>
  </si>
  <si>
    <t>Sept</t>
  </si>
  <si>
    <t>Electric</t>
  </si>
  <si>
    <t>No. CaL Gas</t>
  </si>
  <si>
    <t>So. Cal</t>
  </si>
  <si>
    <t>Electric Transmission</t>
  </si>
  <si>
    <t>Fueling</t>
  </si>
  <si>
    <t>UCCo</t>
  </si>
  <si>
    <t>July</t>
  </si>
  <si>
    <t>No. Ca Gas</t>
  </si>
  <si>
    <t>Gallons</t>
  </si>
  <si>
    <t>Gallon/MH</t>
  </si>
  <si>
    <t>Mh</t>
  </si>
  <si>
    <t>Gas Transmission</t>
  </si>
  <si>
    <t>Oct</t>
  </si>
  <si>
    <t>Applied filters:
Company Number is 1
Year is 2025
Included (1) 10/31/2025 (End of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</si>
</sst>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\$#,##0;\(\$#,##0\);\$#,##0"/>
    <numFmt numFmtId="165" formatCode="_(* #,##0_);_(* \(#,##0\);_(* &quot;-&quot;??_);_(@_)"/>
  </numFmts>
  <fonts count="3">
    <font>
      <sz val="11"/>
      <name val="Aptos Narrow"/>
    </font>
    <font>
      <b/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3" fontId="0" fillId="0" borderId="0" xfId="0" applyNumberFormat="1"/>
    <xf numFmtId="164" fontId="1" fillId="0" borderId="0" xfId="0" applyNumberFormat="1" applyFont="1"/>
    <xf numFmtId="3" fontId="1" fillId="0" borderId="0" xfId="0" applyNumberFormat="1" applyFont="1"/>
    <xf numFmtId="165" fontId="0" fillId="0" borderId="0" xfId="1" applyNumberFormat="1" applyFont="1"/>
    <xf numFmtId="165" fontId="0" fillId="0" borderId="0" xfId="0" applyNumberFormat="1"/>
    <xf numFmtId="0" fontId="0" fillId="0" borderId="0" xfId="0" applyAlignment="1">
      <alignment horizont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UCCo/UEC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Sheet1!$B$23</c:f>
              <c:strCache>
                <c:ptCount val="1"/>
                <c:pt idx="0">
                  <c:v>Gallons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Sheet1!$C$17:$L$17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</c:strCache>
            </c:strRef>
          </c:cat>
          <c:val>
            <c:numRef>
              <c:f>Sheet1!$C$23:$L$23</c:f>
              <c:numCache>
                <c:formatCode>_(* #,##0_);_(* \(#,##0\);_(* "-"??_);_(@_)</c:formatCode>
                <c:ptCount val="10"/>
                <c:pt idx="0">
                  <c:v>84717.106</c:v>
                </c:pt>
                <c:pt idx="1">
                  <c:v>70999.444999999992</c:v>
                </c:pt>
                <c:pt idx="2">
                  <c:v>69790.446000000011</c:v>
                </c:pt>
                <c:pt idx="3">
                  <c:v>79137.777999999991</c:v>
                </c:pt>
                <c:pt idx="4">
                  <c:v>84524.870000000024</c:v>
                </c:pt>
                <c:pt idx="5">
                  <c:v>98534.119000000006</c:v>
                </c:pt>
                <c:pt idx="6">
                  <c:v>103010.561</c:v>
                </c:pt>
                <c:pt idx="7">
                  <c:v>116144.68799999998</c:v>
                </c:pt>
                <c:pt idx="8">
                  <c:v>104678</c:v>
                </c:pt>
                <c:pt idx="9">
                  <c:v>93460.433000000005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D-405E-A1E3-F35E15528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2478112"/>
        <c:axId val="1102487232"/>
      </c:barChart>
      <c:lineChart>
        <c:grouping val="standard"/>
        <c:varyColors val="0"/>
        <c:ser>
          <c:idx val="1"/>
          <c:order val="1"/>
          <c:tx>
            <c:strRef>
              <c:f>Sheet1!$B$40</c:f>
              <c:strCache>
                <c:ptCount val="1"/>
                <c:pt idx="0">
                  <c:v>Gallon/MH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Sheet1!$C$17:$L$17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</c:strCache>
            </c:strRef>
          </c:cat>
          <c:val>
            <c:numRef>
              <c:f>Sheet1!$C$40:$L$40</c:f>
              <c:numCache>
                <c:formatCode>_(* #,##0.00_);_(* \(#,##0.00\);_(* "-"??_);_(@_)</c:formatCode>
                <c:ptCount val="10"/>
                <c:pt idx="0">
                  <c:v>1.2492937238246917</c:v>
                </c:pt>
                <c:pt idx="1">
                  <c:v>1.391791210083704</c:v>
                </c:pt>
                <c:pt idx="2">
                  <c:v>1.1959429364589762</c:v>
                </c:pt>
                <c:pt idx="3">
                  <c:v>1.1975693532278078</c:v>
                </c:pt>
                <c:pt idx="4">
                  <c:v>0.93713476356782555</c:v>
                </c:pt>
                <c:pt idx="5">
                  <c:v>1.4694960553591936</c:v>
                </c:pt>
                <c:pt idx="6">
                  <c:v>0.85535631487170971</c:v>
                </c:pt>
                <c:pt idx="7">
                  <c:v>1.2088834672550894</c:v>
                </c:pt>
                <c:pt idx="8">
                  <c:v>1.0796109695850824</c:v>
                </c:pt>
                <c:pt idx="9">
                  <c:v>0.73805625816845077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BD-405E-A1E3-F35E15528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040751"/>
        <c:axId val="742040271"/>
      </c:lineChart>
      <c:catAx>
        <c:axId val="110247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487232"/>
        <c:crosses val="autoZero"/>
        <c:auto val="1"/>
        <c:lblAlgn val="ctr"/>
        <c:lblOffset val="100"/>
        <c:noMultiLvlLbl val="0"/>
      </c:catAx>
      <c:valAx>
        <c:axId val="110248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478112"/>
        <c:crosses val="autoZero"/>
        <c:crossBetween val="between"/>
      </c:valAx>
      <c:valAx>
        <c:axId val="742040271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040751"/>
        <c:crosses val="max"/>
        <c:crossBetween val="between"/>
      </c:valAx>
      <c:catAx>
        <c:axId val="7420407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4204027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 &amp; Civil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Sheet1!$B$18</c:f>
              <c:strCache>
                <c:ptCount val="1"/>
                <c:pt idx="0">
                  <c:v>Gallons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Sheet1!$C$17:$L$17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</c:strCache>
            </c:strRef>
          </c:cat>
          <c:val>
            <c:numRef>
              <c:f>Sheet1!$C$18:$L$18</c:f>
              <c:numCache>
                <c:formatCode>_(* #,##0_);_(* \(#,##0\);_(* "-"??_);_(@_)</c:formatCode>
                <c:ptCount val="10"/>
                <c:pt idx="0">
                  <c:v>31067.018999999993</c:v>
                </c:pt>
                <c:pt idx="1">
                  <c:v>33451.661999999997</c:v>
                </c:pt>
                <c:pt idx="2">
                  <c:v>34936.850000000006</c:v>
                </c:pt>
                <c:pt idx="3">
                  <c:v>43696.176999999996</c:v>
                </c:pt>
                <c:pt idx="4">
                  <c:v>51280.472000000016</c:v>
                </c:pt>
                <c:pt idx="5">
                  <c:v>60046.592999999993</c:v>
                </c:pt>
                <c:pt idx="6">
                  <c:v>65573.818000000014</c:v>
                </c:pt>
                <c:pt idx="7">
                  <c:v>69050.329999999973</c:v>
                </c:pt>
                <c:pt idx="8">
                  <c:v>61022</c:v>
                </c:pt>
                <c:pt idx="9">
                  <c:v>50110.787000000004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5F-4833-9184-E3F2C9DD7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2478112"/>
        <c:axId val="1102487232"/>
      </c:barChart>
      <c:lineChart>
        <c:grouping val="standard"/>
        <c:varyColors val="0"/>
        <c:ser>
          <c:idx val="1"/>
          <c:order val="1"/>
          <c:tx>
            <c:strRef>
              <c:f>Sheet1!$B$35</c:f>
              <c:strCache>
                <c:ptCount val="1"/>
                <c:pt idx="0">
                  <c:v>Gallon/MH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Sheet1!$C$17:$L$17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</c:strCache>
            </c:strRef>
          </c:cat>
          <c:val>
            <c:numRef>
              <c:f>Sheet1!$C$35:$L$35</c:f>
              <c:numCache>
                <c:formatCode>_(* #,##0.00_);_(* \(#,##0.00\);_(* "-"??_);_(@_)</c:formatCode>
                <c:ptCount val="10"/>
                <c:pt idx="0">
                  <c:v>1.112795293359123</c:v>
                </c:pt>
                <c:pt idx="1">
                  <c:v>1.231289090106007</c:v>
                </c:pt>
                <c:pt idx="2">
                  <c:v>1.1905148912969401</c:v>
                </c:pt>
                <c:pt idx="3">
                  <c:v>1.2912963444546233</c:v>
                </c:pt>
                <c:pt idx="4">
                  <c:v>0.95433937544199232</c:v>
                </c:pt>
                <c:pt idx="5">
                  <c:v>1.4189374025237487</c:v>
                </c:pt>
                <c:pt idx="6">
                  <c:v>0.89712856224262261</c:v>
                </c:pt>
                <c:pt idx="7">
                  <c:v>1.2466433768437772</c:v>
                </c:pt>
                <c:pt idx="8">
                  <c:v>1.0817010263591724</c:v>
                </c:pt>
                <c:pt idx="9">
                  <c:v>0.6939543002748908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5F-4833-9184-E3F2C9DD7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495872"/>
        <c:axId val="1102502112"/>
      </c:lineChart>
      <c:catAx>
        <c:axId val="110247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487232"/>
        <c:crosses val="autoZero"/>
        <c:auto val="1"/>
        <c:lblAlgn val="ctr"/>
        <c:lblOffset val="100"/>
        <c:noMultiLvlLbl val="0"/>
      </c:catAx>
      <c:valAx>
        <c:axId val="110248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478112"/>
        <c:crosses val="autoZero"/>
        <c:crossBetween val="between"/>
      </c:valAx>
      <c:valAx>
        <c:axId val="1102502112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495872"/>
        <c:crosses val="max"/>
        <c:crossBetween val="between"/>
      </c:valAx>
      <c:catAx>
        <c:axId val="1102495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250211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 Cal Gas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Gallons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Sheet1!$C$17:$L$17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</c:strCache>
            </c:strRef>
          </c:cat>
          <c:val>
            <c:numRef>
              <c:f>Sheet1!$C$19:$L$19</c:f>
              <c:numCache>
                <c:formatCode>_(* #,##0_);_(* \(#,##0\);_(* "-"??_);_(@_)</c:formatCode>
                <c:ptCount val="10"/>
                <c:pt idx="0">
                  <c:v>22612.912</c:v>
                </c:pt>
                <c:pt idx="1">
                  <c:v>13651.537999999999</c:v>
                </c:pt>
                <c:pt idx="2">
                  <c:v>9999.0740000000023</c:v>
                </c:pt>
                <c:pt idx="3">
                  <c:v>12932.491000000002</c:v>
                </c:pt>
                <c:pt idx="4">
                  <c:v>13640.616999999998</c:v>
                </c:pt>
                <c:pt idx="5">
                  <c:v>17332.400999999998</c:v>
                </c:pt>
                <c:pt idx="6">
                  <c:v>18471.32</c:v>
                </c:pt>
                <c:pt idx="7">
                  <c:v>27939.118000000002</c:v>
                </c:pt>
                <c:pt idx="8">
                  <c:v>22785</c:v>
                </c:pt>
                <c:pt idx="9">
                  <c:v>22233.891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2-40DA-ABDD-5FB82BBB4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2478112"/>
        <c:axId val="1102487232"/>
      </c:barChart>
      <c:lineChart>
        <c:grouping val="standard"/>
        <c:varyColors val="0"/>
        <c:ser>
          <c:idx val="1"/>
          <c:order val="1"/>
          <c:tx>
            <c:strRef>
              <c:f>Sheet1!$B$36</c:f>
              <c:strCache>
                <c:ptCount val="1"/>
                <c:pt idx="0">
                  <c:v>Gallon/MH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Sheet1!$C$17:$L$17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</c:strCache>
            </c:strRef>
          </c:cat>
          <c:val>
            <c:numRef>
              <c:f>Sheet1!$C$36:$L$36</c:f>
              <c:numCache>
                <c:formatCode>_(* #,##0.00_);_(* \(#,##0.00\);_(* "-"??_);_(@_)</c:formatCode>
                <c:ptCount val="10"/>
                <c:pt idx="0">
                  <c:v>0.94729638473461519</c:v>
                </c:pt>
                <c:pt idx="1">
                  <c:v>1.146321101687799</c:v>
                </c:pt>
                <c:pt idx="2">
                  <c:v>1.1460256733524359</c:v>
                </c:pt>
                <c:pt idx="3">
                  <c:v>0.97222154563223584</c:v>
                </c:pt>
                <c:pt idx="4">
                  <c:v>0.78552358191765037</c:v>
                </c:pt>
                <c:pt idx="5">
                  <c:v>1.5237275604395604</c:v>
                </c:pt>
                <c:pt idx="6">
                  <c:v>0.7833801263836464</c:v>
                </c:pt>
                <c:pt idx="7">
                  <c:v>1.2212220473817643</c:v>
                </c:pt>
                <c:pt idx="8">
                  <c:v>1.0323969188944269</c:v>
                </c:pt>
                <c:pt idx="9">
                  <c:v>0.74801140492531282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A2-40DA-ABDD-5FB82BBB4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575072"/>
        <c:axId val="1102574112"/>
      </c:lineChart>
      <c:catAx>
        <c:axId val="110247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487232"/>
        <c:crosses val="autoZero"/>
        <c:auto val="1"/>
        <c:lblAlgn val="ctr"/>
        <c:lblOffset val="100"/>
        <c:noMultiLvlLbl val="0"/>
      </c:catAx>
      <c:valAx>
        <c:axId val="110248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478112"/>
        <c:crosses val="autoZero"/>
        <c:crossBetween val="between"/>
      </c:valAx>
      <c:valAx>
        <c:axId val="1102574112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575072"/>
        <c:crosses val="max"/>
        <c:crossBetween val="between"/>
      </c:valAx>
      <c:catAx>
        <c:axId val="1102575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257411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So. Cal Gas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Gallons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Sheet1!$C$17:$L$17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</c:strCache>
            </c:strRef>
          </c:cat>
          <c:val>
            <c:numRef>
              <c:f>Sheet1!$C$20:$L$20</c:f>
              <c:numCache>
                <c:formatCode>_(* #,##0_);_(* \(#,##0\);_(* "-"??_);_(@_)</c:formatCode>
                <c:ptCount val="10"/>
                <c:pt idx="0">
                  <c:v>24638.530000000002</c:v>
                </c:pt>
                <c:pt idx="1">
                  <c:v>18772.475000000002</c:v>
                </c:pt>
                <c:pt idx="2">
                  <c:v>19168.092000000001</c:v>
                </c:pt>
                <c:pt idx="3">
                  <c:v>15997.073000000002</c:v>
                </c:pt>
                <c:pt idx="4">
                  <c:v>12455.936</c:v>
                </c:pt>
                <c:pt idx="5">
                  <c:v>15160.283000000003</c:v>
                </c:pt>
                <c:pt idx="6">
                  <c:v>14857.367</c:v>
                </c:pt>
                <c:pt idx="7">
                  <c:v>15426.935999999998</c:v>
                </c:pt>
                <c:pt idx="8">
                  <c:v>17383</c:v>
                </c:pt>
                <c:pt idx="9">
                  <c:v>18897.48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9-4FBB-B23B-7F46F7799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2478112"/>
        <c:axId val="1102487232"/>
      </c:barChart>
      <c:lineChart>
        <c:grouping val="standard"/>
        <c:varyColors val="0"/>
        <c:ser>
          <c:idx val="1"/>
          <c:order val="1"/>
          <c:tx>
            <c:strRef>
              <c:f>Sheet1!$B$37</c:f>
              <c:strCache>
                <c:ptCount val="1"/>
                <c:pt idx="0">
                  <c:v>Gallon/MH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Sheet1!$C$17:$L$17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</c:strCache>
            </c:strRef>
          </c:cat>
          <c:val>
            <c:numRef>
              <c:f>Sheet1!$C$37:$L$37</c:f>
              <c:numCache>
                <c:formatCode>_(* #,##0.00_);_(* \(#,##0.00\);_(* "-"??_);_(@_)</c:formatCode>
                <c:ptCount val="10"/>
                <c:pt idx="0">
                  <c:v>3.3067413769963765</c:v>
                </c:pt>
                <c:pt idx="1">
                  <c:v>3.3402980427046267</c:v>
                </c:pt>
                <c:pt idx="2">
                  <c:v>1.3732692362802694</c:v>
                </c:pt>
                <c:pt idx="3">
                  <c:v>1.2758871430850216</c:v>
                </c:pt>
                <c:pt idx="4">
                  <c:v>1.14992023633678</c:v>
                </c:pt>
                <c:pt idx="5">
                  <c:v>1.6803683218798495</c:v>
                </c:pt>
                <c:pt idx="6">
                  <c:v>0.93307586510079765</c:v>
                </c:pt>
                <c:pt idx="7">
                  <c:v>1.2197134724857683</c:v>
                </c:pt>
                <c:pt idx="8">
                  <c:v>1.2420864594498036</c:v>
                </c:pt>
                <c:pt idx="9">
                  <c:v>0.94795485327313767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59-4FBB-B23B-7F46F7799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575072"/>
        <c:axId val="1102574112"/>
      </c:lineChart>
      <c:catAx>
        <c:axId val="110247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487232"/>
        <c:crosses val="autoZero"/>
        <c:auto val="1"/>
        <c:lblAlgn val="ctr"/>
        <c:lblOffset val="100"/>
        <c:noMultiLvlLbl val="0"/>
      </c:catAx>
      <c:valAx>
        <c:axId val="110248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478112"/>
        <c:crosses val="autoZero"/>
        <c:crossBetween val="between"/>
      </c:valAx>
      <c:valAx>
        <c:axId val="1102574112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575072"/>
        <c:crosses val="max"/>
        <c:crossBetween val="between"/>
      </c:valAx>
      <c:catAx>
        <c:axId val="1102575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257411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Electric Transmission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Sheet1!$B$21</c:f>
              <c:strCache>
                <c:ptCount val="1"/>
                <c:pt idx="0">
                  <c:v>Gallons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Sheet1!$C$17:$L$17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</c:strCache>
            </c:strRef>
          </c:cat>
          <c:val>
            <c:numRef>
              <c:f>Sheet1!$C$21:$L$21</c:f>
              <c:numCache>
                <c:formatCode>_(* #,##0_);_(* \(#,##0\);_(* "-"??_);_(@_)</c:formatCode>
                <c:ptCount val="10"/>
                <c:pt idx="0">
                  <c:v>998.16099999999994</c:v>
                </c:pt>
                <c:pt idx="1">
                  <c:v>875.274</c:v>
                </c:pt>
                <c:pt idx="2">
                  <c:v>1086.5530000000001</c:v>
                </c:pt>
                <c:pt idx="3">
                  <c:v>2223.1659999999997</c:v>
                </c:pt>
                <c:pt idx="4">
                  <c:v>2954.7949999999996</c:v>
                </c:pt>
                <c:pt idx="5">
                  <c:v>2765.6449999999995</c:v>
                </c:pt>
                <c:pt idx="6">
                  <c:v>1321.5930000000003</c:v>
                </c:pt>
                <c:pt idx="7">
                  <c:v>1337.2540000000004</c:v>
                </c:pt>
                <c:pt idx="8">
                  <c:v>859</c:v>
                </c:pt>
                <c:pt idx="9">
                  <c:v>403.94400000000002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8-4609-964E-B8367E3FB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2478112"/>
        <c:axId val="1102487232"/>
      </c:barChart>
      <c:lineChart>
        <c:grouping val="standard"/>
        <c:varyColors val="0"/>
        <c:ser>
          <c:idx val="1"/>
          <c:order val="1"/>
          <c:tx>
            <c:strRef>
              <c:f>Sheet1!$B$38</c:f>
              <c:strCache>
                <c:ptCount val="1"/>
                <c:pt idx="0">
                  <c:v>Gallon/MH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Sheet1!$C$17:$L$17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</c:strCache>
            </c:strRef>
          </c:cat>
          <c:val>
            <c:numRef>
              <c:f>Sheet1!$C$38:$L$38</c:f>
              <c:numCache>
                <c:formatCode>_(* #,##0.00_);_(* \(#,##0.00\);_(* "-"??_);_(@_)</c:formatCode>
                <c:ptCount val="10"/>
                <c:pt idx="0">
                  <c:v>0.93548359887535137</c:v>
                </c:pt>
                <c:pt idx="1">
                  <c:v>2.221507614213198</c:v>
                </c:pt>
                <c:pt idx="2">
                  <c:v>0.97187209302325595</c:v>
                </c:pt>
                <c:pt idx="3">
                  <c:v>0.91300451745379863</c:v>
                </c:pt>
                <c:pt idx="4">
                  <c:v>0.76134887915485694</c:v>
                </c:pt>
                <c:pt idx="5">
                  <c:v>1.2709765624999998</c:v>
                </c:pt>
                <c:pt idx="6">
                  <c:v>0.3821842105263159</c:v>
                </c:pt>
                <c:pt idx="7">
                  <c:v>0.57074434485702108</c:v>
                </c:pt>
                <c:pt idx="8">
                  <c:v>0.59487534626038785</c:v>
                </c:pt>
                <c:pt idx="9">
                  <c:v>0.30326126126126129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F8-4609-964E-B8367E3FB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575072"/>
        <c:axId val="1102574112"/>
      </c:lineChart>
      <c:catAx>
        <c:axId val="110247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487232"/>
        <c:crosses val="autoZero"/>
        <c:auto val="1"/>
        <c:lblAlgn val="ctr"/>
        <c:lblOffset val="100"/>
        <c:noMultiLvlLbl val="0"/>
      </c:catAx>
      <c:valAx>
        <c:axId val="110248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478112"/>
        <c:crosses val="autoZero"/>
        <c:crossBetween val="between"/>
      </c:valAx>
      <c:valAx>
        <c:axId val="1102574112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575072"/>
        <c:crosses val="max"/>
        <c:crossBetween val="between"/>
      </c:valAx>
      <c:catAx>
        <c:axId val="1102575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257411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Fueling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Sheet1!$B$22</c:f>
              <c:strCache>
                <c:ptCount val="1"/>
                <c:pt idx="0">
                  <c:v>Gallons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Sheet1!$C$17:$L$17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</c:strCache>
            </c:strRef>
          </c:cat>
          <c:val>
            <c:numRef>
              <c:f>Sheet1!$C$22:$L$22</c:f>
              <c:numCache>
                <c:formatCode>_(* #,##0_);_(* \(#,##0\);_(* "-"??_);_(@_)</c:formatCode>
                <c:ptCount val="10"/>
                <c:pt idx="0">
                  <c:v>5008.590000000002</c:v>
                </c:pt>
                <c:pt idx="1">
                  <c:v>3974.2920000000008</c:v>
                </c:pt>
                <c:pt idx="2">
                  <c:v>4164.3049999999994</c:v>
                </c:pt>
                <c:pt idx="3">
                  <c:v>3952.8529999999992</c:v>
                </c:pt>
                <c:pt idx="4">
                  <c:v>3878.2079999999996</c:v>
                </c:pt>
                <c:pt idx="5">
                  <c:v>3005.3989999999994</c:v>
                </c:pt>
                <c:pt idx="6">
                  <c:v>2786.4630000000011</c:v>
                </c:pt>
                <c:pt idx="7">
                  <c:v>2391.0499999999993</c:v>
                </c:pt>
                <c:pt idx="8">
                  <c:v>2448</c:v>
                </c:pt>
                <c:pt idx="9">
                  <c:v>1814.3310000000001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32-4886-9BE6-E608919C1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2478112"/>
        <c:axId val="1102487232"/>
      </c:barChart>
      <c:lineChart>
        <c:grouping val="standard"/>
        <c:varyColors val="0"/>
        <c:ser>
          <c:idx val="1"/>
          <c:order val="1"/>
          <c:tx>
            <c:strRef>
              <c:f>Sheet1!$B$38</c:f>
              <c:strCache>
                <c:ptCount val="1"/>
                <c:pt idx="0">
                  <c:v>Gallon/MH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Sheet1!$C$17:$L$17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</c:strCache>
            </c:strRef>
          </c:cat>
          <c:val>
            <c:numRef>
              <c:f>Sheet1!$C$38:$L$38</c:f>
              <c:numCache>
                <c:formatCode>_(* #,##0.00_);_(* \(#,##0.00\);_(* "-"??_);_(@_)</c:formatCode>
                <c:ptCount val="10"/>
                <c:pt idx="0">
                  <c:v>0.93548359887535137</c:v>
                </c:pt>
                <c:pt idx="1">
                  <c:v>2.221507614213198</c:v>
                </c:pt>
                <c:pt idx="2">
                  <c:v>0.97187209302325595</c:v>
                </c:pt>
                <c:pt idx="3">
                  <c:v>0.91300451745379863</c:v>
                </c:pt>
                <c:pt idx="4">
                  <c:v>0.76134887915485694</c:v>
                </c:pt>
                <c:pt idx="5">
                  <c:v>1.2709765624999998</c:v>
                </c:pt>
                <c:pt idx="6">
                  <c:v>0.3821842105263159</c:v>
                </c:pt>
                <c:pt idx="7">
                  <c:v>0.57074434485702108</c:v>
                </c:pt>
                <c:pt idx="8">
                  <c:v>0.59487534626038785</c:v>
                </c:pt>
                <c:pt idx="9">
                  <c:v>0.30326126126126129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32-4886-9BE6-E608919C1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575072"/>
        <c:axId val="1102574112"/>
      </c:lineChart>
      <c:catAx>
        <c:axId val="110247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487232"/>
        <c:crosses val="autoZero"/>
        <c:auto val="1"/>
        <c:lblAlgn val="ctr"/>
        <c:lblOffset val="100"/>
        <c:noMultiLvlLbl val="0"/>
      </c:catAx>
      <c:valAx>
        <c:axId val="110248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478112"/>
        <c:crosses val="autoZero"/>
        <c:crossBetween val="between"/>
      </c:valAx>
      <c:valAx>
        <c:axId val="1102574112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575072"/>
        <c:crosses val="max"/>
        <c:crossBetween val="between"/>
      </c:valAx>
      <c:catAx>
        <c:axId val="1102575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257411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5.png"/><Relationship Id="rId5" Type="http://schemas.openxmlformats.org/officeDocument/2006/relationships/chart" Target="../charts/chart5.xml"/><Relationship Id="rId10" Type="http://schemas.openxmlformats.org/officeDocument/2006/relationships/image" Target="../media/image4.png"/><Relationship Id="rId4" Type="http://schemas.openxmlformats.org/officeDocument/2006/relationships/chart" Target="../charts/chart4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57148</xdr:colOff>
      <xdr:row>2</xdr:row>
      <xdr:rowOff>4760</xdr:rowOff>
    </xdr:from>
    <xdr:to>
      <xdr:col>9</xdr:col>
      <xdr:colOff>438149</xdr:colOff>
      <xdr:row>21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E76074-DAF2-EC0B-BA07-6D3CEE8F8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38100</xdr:colOff>
      <xdr:row>1</xdr:row>
      <xdr:rowOff>180974</xdr:rowOff>
    </xdr:from>
    <xdr:to>
      <xdr:col>24</xdr:col>
      <xdr:colOff>400050</xdr:colOff>
      <xdr:row>21</xdr:row>
      <xdr:rowOff>38099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BD6406E-B283-4D5E-A703-0A188E9687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9525</xdr:colOff>
      <xdr:row>22</xdr:row>
      <xdr:rowOff>171449</xdr:rowOff>
    </xdr:from>
    <xdr:to>
      <xdr:col>24</xdr:col>
      <xdr:colOff>371475</xdr:colOff>
      <xdr:row>42</xdr:row>
      <xdr:rowOff>28574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C3EA22A-C9C6-4722-8401-AB6C40D86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22</xdr:row>
      <xdr:rowOff>190499</xdr:rowOff>
    </xdr:from>
    <xdr:to>
      <xdr:col>9</xdr:col>
      <xdr:colOff>361950</xdr:colOff>
      <xdr:row>42</xdr:row>
      <xdr:rowOff>47624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1E4AA7E-7A74-4197-A710-9DB0B4A58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42</xdr:row>
      <xdr:rowOff>190499</xdr:rowOff>
    </xdr:from>
    <xdr:to>
      <xdr:col>9</xdr:col>
      <xdr:colOff>428625</xdr:colOff>
      <xdr:row>62</xdr:row>
      <xdr:rowOff>47624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589EEBF-2856-4601-AA7A-BEB15748E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19050</xdr:colOff>
      <xdr:row>42</xdr:row>
      <xdr:rowOff>180974</xdr:rowOff>
    </xdr:from>
    <xdr:to>
      <xdr:col>24</xdr:col>
      <xdr:colOff>381000</xdr:colOff>
      <xdr:row>62</xdr:row>
      <xdr:rowOff>38099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5AD6AD4-5C2B-41C5-958A-51B32F6B69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504824</xdr:colOff>
      <xdr:row>22</xdr:row>
      <xdr:rowOff>152399</xdr:rowOff>
    </xdr:from>
    <xdr:to>
      <xdr:col>30</xdr:col>
      <xdr:colOff>19049</xdr:colOff>
      <xdr:row>42</xdr:row>
      <xdr:rowOff>71757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88AAD24-1D8F-28D1-50BD-405D82741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049624" y="4133849"/>
          <a:ext cx="3400425" cy="3538858"/>
        </a:xfrm>
        <a:prstGeom prst="rect">
          <a:avLst/>
        </a:prstGeom>
      </xdr:spPr>
    </xdr:pic>
    <xdr:clientData/>
  </xdr:twoCellAnchor>
  <xdr:twoCellAnchor editAs="oneCell">
    <xdr:from>
      <xdr:col>24</xdr:col>
      <xdr:colOff>619124</xdr:colOff>
      <xdr:row>2</xdr:row>
      <xdr:rowOff>57149</xdr:rowOff>
    </xdr:from>
    <xdr:to>
      <xdr:col>30</xdr:col>
      <xdr:colOff>169927</xdr:colOff>
      <xdr:row>16</xdr:row>
      <xdr:rowOff>180974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A5B25C-16EB-A908-1492-87A6D6968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163924" y="419099"/>
          <a:ext cx="3437003" cy="2657475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46</xdr:row>
      <xdr:rowOff>0</xdr:rowOff>
    </xdr:from>
    <xdr:to>
      <xdr:col>30</xdr:col>
      <xdr:colOff>171450</xdr:colOff>
      <xdr:row>60</xdr:row>
      <xdr:rowOff>106876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10252D4-0FF2-DD76-B7C7-581BC78AE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192500" y="8324850"/>
          <a:ext cx="3409950" cy="2640526"/>
        </a:xfrm>
        <a:prstGeom prst="rect">
          <a:avLst/>
        </a:prstGeom>
      </xdr:spPr>
    </xdr:pic>
    <xdr:clientData/>
  </xdr:twoCellAnchor>
  <xdr:twoCellAnchor editAs="oneCell">
    <xdr:from>
      <xdr:col>9</xdr:col>
      <xdr:colOff>428625</xdr:colOff>
      <xdr:row>23</xdr:row>
      <xdr:rowOff>9525</xdr:rowOff>
    </xdr:from>
    <xdr:to>
      <xdr:col>14</xdr:col>
      <xdr:colOff>542925</xdr:colOff>
      <xdr:row>40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83F0EAB-E1A4-862E-A8A3-942066572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15025" y="4391025"/>
          <a:ext cx="3162300" cy="32289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14</xdr:col>
      <xdr:colOff>420398</xdr:colOff>
      <xdr:row>57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58A456D-EC49-D067-71B4-48F6D23F3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477000" y="7962900"/>
          <a:ext cx="3011198" cy="2428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908B-CC60-471D-871F-7C312D3A0E2D}">
  <dimension ref="A1"/>
  <sheetViews>
    <sheetView tabSelected="1" topLeftCell="A10" workbookViewId="0">
      <selection activeCell="L42" sqref="L42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FC0A2-B77E-475C-A04E-8DAC925C7B18}">
  <dimension ref="A3:L41"/>
  <sheetViews>
    <sheetView topLeftCell="A16" workbookViewId="0">
      <selection activeCell="C35" sqref="C35:L41"/>
    </sheetView>
  </sheetViews>
  <sheetFormatPr defaultRowHeight="15"/>
  <cols>
    <col min="3" max="8" width="10.85546875" bestFit="1" customWidth="1"/>
    <col min="9" max="9" width="10.85546875" customWidth="1"/>
    <col min="10" max="11" width="10.85546875" bestFit="1" customWidth="1"/>
    <col min="12" max="12" width="10" bestFit="1" customWidth="1"/>
  </cols>
  <sheetData>
    <row r="3" spans="1:12">
      <c r="A3" s="2" t="s">
        <v>0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s="4" t="s">
        <v>36</v>
      </c>
      <c r="J3" t="s">
        <v>28</v>
      </c>
      <c r="K3" t="s">
        <v>29</v>
      </c>
      <c r="L3" t="s">
        <v>42</v>
      </c>
    </row>
    <row r="4" spans="1:12">
      <c r="A4" t="s">
        <v>3</v>
      </c>
      <c r="C4" s="7">
        <f>VLOOKUP(A4,sept!A$111:C$120,3,FALSE)</f>
        <v>31067.018999999993</v>
      </c>
      <c r="D4" s="7">
        <f>VLOOKUP($A4,sept!$A$96:$C$106,3,FALSE)</f>
        <v>33451.661999999997</v>
      </c>
      <c r="E4" s="7">
        <f>VLOOKUP($A4,sept!$A$82:$C$92,3,FALSE)</f>
        <v>34936.850000000006</v>
      </c>
      <c r="F4" s="7">
        <f>VLOOKUP($A4,sept!$A$68:$C$78,3,FALSE)</f>
        <v>43696.176999999996</v>
      </c>
      <c r="G4" s="7">
        <f>VLOOKUP($A4,sept!$A$54:$C$64,3,FALSE)</f>
        <v>51280.472000000016</v>
      </c>
      <c r="H4" s="7">
        <f>VLOOKUP($A4,sept!$A$42:$C$50,3,FALSE)</f>
        <v>60046.592999999993</v>
      </c>
      <c r="I4" s="7">
        <f>VLOOKUP($A4,sept!$A$28:$C$38,3,FALSE)</f>
        <v>65573.818000000014</v>
      </c>
      <c r="J4" s="7">
        <f>VLOOKUP($A4,sept!$A$16:$C$23,3,FALSE)</f>
        <v>69050.329999999973</v>
      </c>
      <c r="K4" s="7">
        <f>VLOOKUP($A4,sept!$A$1:$C$9,3,FALSE)</f>
        <v>61022</v>
      </c>
      <c r="L4" s="7">
        <f>+sept!C127</f>
        <v>50110.787000000004</v>
      </c>
    </row>
    <row r="5" spans="1:12">
      <c r="A5" t="s">
        <v>4</v>
      </c>
      <c r="C5" s="7">
        <f>VLOOKUP(A5,sept!A$111:C$120,3,FALSE)</f>
        <v>18422.097000000002</v>
      </c>
      <c r="D5" s="7">
        <f>VLOOKUP($A5,sept!$A$96:$C$106,3,FALSE)</f>
        <v>11169.875</v>
      </c>
      <c r="E5" s="7">
        <f>VLOOKUP($A5,sept!$A$82:$C$92,3,FALSE)</f>
        <v>6691.9400000000014</v>
      </c>
      <c r="F5" s="7">
        <f>VLOOKUP($A5,sept!$A$68:$C$78,3,FALSE)</f>
        <v>9913.5420000000013</v>
      </c>
      <c r="G5" s="7">
        <f>VLOOKUP($A5,sept!$A$54:$C$64,3,FALSE)</f>
        <v>11049.900999999998</v>
      </c>
      <c r="H5" s="7">
        <f>VLOOKUP($A5,sept!$A$42:$C$50,3,FALSE)</f>
        <v>13558.781999999999</v>
      </c>
      <c r="I5" s="7">
        <f>VLOOKUP($A5,sept!$A$28:$C$38,3,FALSE)+VLOOKUP("Gas Transmission",sept!$A$28:$C$38,3,FALSE)</f>
        <v>15004.700999999999</v>
      </c>
      <c r="J5" s="7">
        <f>VLOOKUP($A5,sept!$A$16:$C$23,3,FALSE)+VLOOKUP("gas transmission",sept!$A$16:$C$23,3,FALSE)</f>
        <v>25182.163</v>
      </c>
      <c r="K5" s="7">
        <f>VLOOKUP($A5,sept!$A$1:$C$9,3,FALSE)+VLOOKUP("gas transmission",sept!$A$1:$C$9,3,FALSE)</f>
        <v>20313</v>
      </c>
      <c r="L5" s="7">
        <f>VLOOKUP(A5,sept!$A$126:$D$136,3,FALSE)</f>
        <v>17655.18</v>
      </c>
    </row>
    <row r="6" spans="1:12">
      <c r="A6" t="s">
        <v>5</v>
      </c>
      <c r="C6" s="7">
        <f>VLOOKUP(A6,sept!A$111:C$120,3,FALSE)</f>
        <v>14834.043000000001</v>
      </c>
      <c r="D6" s="7">
        <f>VLOOKUP($A6,sept!$A$96:$C$106,3,FALSE)</f>
        <v>10691.402000000004</v>
      </c>
      <c r="E6" s="7">
        <f>VLOOKUP($A6,sept!$A$82:$C$92,3,FALSE)</f>
        <v>12247.506000000001</v>
      </c>
      <c r="F6" s="7">
        <f>VLOOKUP($A6,sept!$A$68:$C$78,3,FALSE)</f>
        <v>9149.496000000001</v>
      </c>
      <c r="G6" s="7">
        <f>VLOOKUP($A6,sept!$A$54:$C$64,3,FALSE)</f>
        <v>6241.4039999999986</v>
      </c>
      <c r="H6" s="7">
        <f>VLOOKUP($A6,sept!$A$42:$C$50,3,FALSE)</f>
        <v>9061.2990000000009</v>
      </c>
      <c r="I6" s="7">
        <f>VLOOKUP($A6,sept!$A$28:$C$38,3,FALSE)</f>
        <v>10918.678</v>
      </c>
      <c r="J6" s="7">
        <f>VLOOKUP($A6,sept!$A$16:$C$23,3,FALSE)</f>
        <v>7468.9709999999986</v>
      </c>
      <c r="K6" s="7">
        <f>VLOOKUP($A6,sept!$A$1:$C$9,3,FALSE)</f>
        <v>4357</v>
      </c>
      <c r="L6" s="7">
        <f>VLOOKUP(A6,sept!$A$126:$D$136,3,FALSE)</f>
        <v>8351.2049999999999</v>
      </c>
    </row>
    <row r="7" spans="1:12">
      <c r="A7" t="s">
        <v>9</v>
      </c>
      <c r="C7" s="7">
        <f>VLOOKUP(A7,sept!A$111:C$120,3,FALSE)</f>
        <v>9804.487000000001</v>
      </c>
      <c r="D7" s="7">
        <f>VLOOKUP($A7,sept!$A$96:$C$106,3,FALSE)</f>
        <v>8081.0729999999994</v>
      </c>
      <c r="E7" s="7">
        <f>VLOOKUP($A7,sept!$A$82:$C$92,3,FALSE)</f>
        <v>6920.5859999999993</v>
      </c>
      <c r="F7" s="7">
        <f>VLOOKUP($A7,sept!$A$68:$C$78,3,FALSE)</f>
        <v>6847.5770000000011</v>
      </c>
      <c r="G7" s="7">
        <f>VLOOKUP($A7,sept!$A$54:$C$64,3,FALSE)</f>
        <v>6214.5320000000011</v>
      </c>
      <c r="H7" s="7">
        <f>VLOOKUP($A7,sept!$A$42:$C$50,3,FALSE)</f>
        <v>6098.9840000000013</v>
      </c>
      <c r="I7" s="7">
        <f>VLOOKUP($A7,sept!$A$28:$C$38,3,FALSE)</f>
        <v>3938.6889999999999</v>
      </c>
      <c r="J7" s="7">
        <f>VLOOKUP($A7,sept!$A$16:$C$23,3,FALSE)</f>
        <v>7957.9650000000001</v>
      </c>
      <c r="K7" s="7">
        <f>VLOOKUP($A7,sept!$A$1:$C$9,3,FALSE)</f>
        <v>13026</v>
      </c>
      <c r="L7" s="7">
        <f>VLOOKUP(A7,sept!$A$126:$D$136,3,FALSE)</f>
        <v>10546.275</v>
      </c>
    </row>
    <row r="8" spans="1:12">
      <c r="A8" t="s">
        <v>7</v>
      </c>
      <c r="C8" s="7">
        <f>VLOOKUP(A8,sept!A$111:C$120,3,FALSE)</f>
        <v>5008.590000000002</v>
      </c>
      <c r="D8" s="7">
        <f>VLOOKUP($A8,sept!$A$96:$C$106,3,FALSE)</f>
        <v>3974.2920000000008</v>
      </c>
      <c r="E8" s="7">
        <f>VLOOKUP($A8,sept!$A$82:$C$92,3,FALSE)</f>
        <v>4164.3049999999994</v>
      </c>
      <c r="F8" s="7">
        <f>VLOOKUP($A8,sept!$A$68:$C$78,3,FALSE)</f>
        <v>3952.8529999999992</v>
      </c>
      <c r="G8" s="7">
        <f>VLOOKUP($A8,sept!$A$54:$C$64,3,FALSE)</f>
        <v>3878.2079999999996</v>
      </c>
      <c r="H8" s="7">
        <f>VLOOKUP($A8,sept!$A$42:$C$50,3,FALSE)</f>
        <v>3005.3989999999994</v>
      </c>
      <c r="I8" s="7">
        <f>VLOOKUP($A8,sept!$A$28:$C$38,3,FALSE)</f>
        <v>2786.4630000000011</v>
      </c>
      <c r="J8" s="7">
        <f>VLOOKUP($A8,sept!$A$16:$C$23,3,FALSE)</f>
        <v>2391.0499999999993</v>
      </c>
      <c r="K8" s="7">
        <f>VLOOKUP($A8,sept!$A$1:$C$9,3,FALSE)</f>
        <v>2448</v>
      </c>
      <c r="L8" s="7">
        <f>+sept!C132</f>
        <v>1814.3310000000001</v>
      </c>
    </row>
    <row r="9" spans="1:12">
      <c r="A9" t="s">
        <v>6</v>
      </c>
      <c r="C9" s="7">
        <f>VLOOKUP(A9,sept!A$111:C$120,3,FALSE)</f>
        <v>4190.8149999999987</v>
      </c>
      <c r="D9" s="7">
        <f>VLOOKUP($A9,sept!$A$96:$C$106,3,FALSE)</f>
        <v>2481.6629999999991</v>
      </c>
      <c r="E9" s="7">
        <f>VLOOKUP($A9,sept!$A$82:$C$92,3,FALSE)</f>
        <v>3307.1340000000009</v>
      </c>
      <c r="F9" s="7">
        <f>VLOOKUP($A9,sept!$A$68:$C$78,3,FALSE)</f>
        <v>3018.9490000000001</v>
      </c>
      <c r="G9" s="7">
        <f>VLOOKUP($A9,sept!$A$54:$C$64,3,FALSE)</f>
        <v>2590.7159999999999</v>
      </c>
      <c r="H9" s="7">
        <f>VLOOKUP($A9,sept!$A$42:$C$50,3,FALSE)</f>
        <v>3773.6190000000001</v>
      </c>
      <c r="I9" s="7">
        <f>VLOOKUP($A9,sept!$A$28:$C$38,3,FALSE)</f>
        <v>3466.6190000000001</v>
      </c>
      <c r="J9" s="7">
        <f>VLOOKUP($A9,sept!$A$16:$C$23,3,FALSE)</f>
        <v>2756.9549999999999</v>
      </c>
      <c r="K9" s="7">
        <f>VLOOKUP($A9,sept!$A$1:$C$9,3,FALSE)</f>
        <v>2472</v>
      </c>
      <c r="L9" s="7">
        <f>VLOOKUP(A9,sept!$A$126:$D$136,3,FALSE)</f>
        <v>4578.7110000000002</v>
      </c>
    </row>
    <row r="10" spans="1:12">
      <c r="A10" t="s">
        <v>8</v>
      </c>
      <c r="C10" s="7">
        <f>VLOOKUP(A10,sept!A$111:C$120,3,FALSE)</f>
        <v>998.16099999999994</v>
      </c>
      <c r="D10" s="7">
        <f>VLOOKUP($A10,sept!$A$96:$C$106,3,FALSE)</f>
        <v>875.274</v>
      </c>
      <c r="E10" s="7">
        <f>VLOOKUP($A10,sept!$A$82:$C$92,3,FALSE)</f>
        <v>1086.5530000000001</v>
      </c>
      <c r="F10" s="7">
        <f>VLOOKUP($A10,sept!$A$68:$C$78,3,FALSE)</f>
        <v>2223.1659999999997</v>
      </c>
      <c r="G10" s="7">
        <f>VLOOKUP($A10,sept!$A$54:$C$64,3,FALSE)</f>
        <v>2954.7949999999996</v>
      </c>
      <c r="H10" s="7">
        <f>VLOOKUP($A10,sept!$A$42:$C$50,3,FALSE)</f>
        <v>2765.6449999999995</v>
      </c>
      <c r="I10" s="7">
        <f>VLOOKUP($A10,sept!$A$28:$C$38,3,FALSE)</f>
        <v>1321.5930000000003</v>
      </c>
      <c r="J10" s="7">
        <f>VLOOKUP($A10,sept!$A$16:$C$23,3,FALSE)</f>
        <v>1337.2540000000004</v>
      </c>
      <c r="K10" s="7">
        <f>VLOOKUP($A10,sept!$A$1:$C$9,3,FALSE)</f>
        <v>859</v>
      </c>
      <c r="L10" s="7">
        <f>+sept!C133</f>
        <v>403.94400000000002</v>
      </c>
    </row>
    <row r="11" spans="1:12">
      <c r="A11" t="s">
        <v>14</v>
      </c>
      <c r="C11" s="7">
        <f>VLOOKUP(A11,sept!A$111:C$120,3,FALSE)</f>
        <v>391.89400000000001</v>
      </c>
      <c r="D11" s="7">
        <f>VLOOKUP($A11,sept!$A$96:$C$106,3,FALSE)</f>
        <v>231.34399999999999</v>
      </c>
      <c r="E11" s="7">
        <f>VLOOKUP($A11,sept!$A$82:$C$92,3,FALSE)</f>
        <v>311.95499999999998</v>
      </c>
      <c r="F11" s="7">
        <f>VLOOKUP($A11,sept!$A$68:$C$78,3,FALSE)</f>
        <v>271.27699999999999</v>
      </c>
      <c r="G11" s="7">
        <f>VLOOKUP($A11,sept!$A$54:$C$64,3,FALSE)</f>
        <v>314.84200000000004</v>
      </c>
      <c r="H11" s="7">
        <f>VLOOKUP($A11,sept!$A$42:$C$50,3,FALSE)</f>
        <v>223.798</v>
      </c>
      <c r="I11" s="7">
        <v>0</v>
      </c>
      <c r="J11" s="7"/>
      <c r="K11" s="7"/>
      <c r="L11" s="7">
        <v>0</v>
      </c>
    </row>
    <row r="12" spans="1:12">
      <c r="A12" t="s">
        <v>17</v>
      </c>
      <c r="C12" s="7">
        <v>0</v>
      </c>
      <c r="D12" s="7">
        <f>VLOOKUP($A12,sept!$A$96:$C$106,3,FALSE)</f>
        <v>42.86</v>
      </c>
      <c r="E12" s="7">
        <f>VLOOKUP($A12,sept!$A$82:$C$92,3,FALSE)</f>
        <v>123.61699999999999</v>
      </c>
      <c r="F12" s="7">
        <f>VLOOKUP($A12,sept!$A$68:$C$78,3,FALSE)</f>
        <v>64.741</v>
      </c>
      <c r="G12" s="7"/>
      <c r="H12" s="7"/>
      <c r="I12" s="7">
        <v>0</v>
      </c>
      <c r="J12" s="7"/>
      <c r="K12" s="7"/>
      <c r="L12" s="7">
        <v>0</v>
      </c>
    </row>
    <row r="13" spans="1:12">
      <c r="A13" s="1" t="s">
        <v>10</v>
      </c>
      <c r="B13" s="1"/>
      <c r="C13" s="7">
        <f t="shared" ref="C13:J13" si="0">SUM(C4:C12)</f>
        <v>84717.106</v>
      </c>
      <c r="D13" s="7">
        <f t="shared" si="0"/>
        <v>70999.444999999992</v>
      </c>
      <c r="E13" s="7">
        <f t="shared" si="0"/>
        <v>69790.446000000011</v>
      </c>
      <c r="F13" s="7">
        <f t="shared" si="0"/>
        <v>79137.777999999991</v>
      </c>
      <c r="G13" s="7">
        <f t="shared" si="0"/>
        <v>84524.870000000024</v>
      </c>
      <c r="H13" s="7">
        <f t="shared" si="0"/>
        <v>98534.119000000006</v>
      </c>
      <c r="I13" s="7">
        <f>VLOOKUP($A13,sept!$A$28:$C$38,3,FALSE)</f>
        <v>103010.561</v>
      </c>
      <c r="J13" s="7">
        <f t="shared" si="0"/>
        <v>116144.68799999998</v>
      </c>
      <c r="K13" s="7">
        <f>+sept!C10</f>
        <v>104678</v>
      </c>
      <c r="L13" s="7">
        <f>SUM(L4:L12)</f>
        <v>93460.433000000005</v>
      </c>
    </row>
    <row r="17" spans="1:12">
      <c r="C17" s="9" t="s">
        <v>22</v>
      </c>
      <c r="D17" s="9" t="s">
        <v>23</v>
      </c>
      <c r="E17" s="9" t="s">
        <v>24</v>
      </c>
      <c r="F17" s="9" t="s">
        <v>25</v>
      </c>
      <c r="G17" s="9" t="s">
        <v>26</v>
      </c>
      <c r="H17" s="9" t="s">
        <v>27</v>
      </c>
      <c r="I17" s="9" t="s">
        <v>36</v>
      </c>
      <c r="J17" s="9" t="s">
        <v>28</v>
      </c>
      <c r="K17" s="9" t="s">
        <v>29</v>
      </c>
      <c r="L17" s="9" t="s">
        <v>42</v>
      </c>
    </row>
    <row r="18" spans="1:12">
      <c r="A18" t="s">
        <v>30</v>
      </c>
      <c r="B18" t="s">
        <v>38</v>
      </c>
      <c r="C18" s="8">
        <f>+C4</f>
        <v>31067.018999999993</v>
      </c>
      <c r="D18" s="8">
        <f t="shared" ref="D18:K18" si="1">+D4</f>
        <v>33451.661999999997</v>
      </c>
      <c r="E18" s="8">
        <f t="shared" si="1"/>
        <v>34936.850000000006</v>
      </c>
      <c r="F18" s="8">
        <f t="shared" si="1"/>
        <v>43696.176999999996</v>
      </c>
      <c r="G18" s="8">
        <f t="shared" si="1"/>
        <v>51280.472000000016</v>
      </c>
      <c r="H18" s="8">
        <f t="shared" si="1"/>
        <v>60046.592999999993</v>
      </c>
      <c r="I18" s="8">
        <f t="shared" si="1"/>
        <v>65573.818000000014</v>
      </c>
      <c r="J18" s="8">
        <f t="shared" si="1"/>
        <v>69050.329999999973</v>
      </c>
      <c r="K18" s="8">
        <f t="shared" si="1"/>
        <v>61022</v>
      </c>
      <c r="L18" s="8">
        <f t="shared" ref="L18" si="2">+L4</f>
        <v>50110.787000000004</v>
      </c>
    </row>
    <row r="19" spans="1:12">
      <c r="A19" t="s">
        <v>31</v>
      </c>
      <c r="B19" t="s">
        <v>38</v>
      </c>
      <c r="C19" s="8">
        <f>+C5+C9</f>
        <v>22612.912</v>
      </c>
      <c r="D19" s="8">
        <f t="shared" ref="D19:K19" si="3">+D5+D9</f>
        <v>13651.537999999999</v>
      </c>
      <c r="E19" s="8">
        <f t="shared" si="3"/>
        <v>9999.0740000000023</v>
      </c>
      <c r="F19" s="8">
        <f t="shared" si="3"/>
        <v>12932.491000000002</v>
      </c>
      <c r="G19" s="8">
        <f t="shared" si="3"/>
        <v>13640.616999999998</v>
      </c>
      <c r="H19" s="8">
        <f t="shared" si="3"/>
        <v>17332.400999999998</v>
      </c>
      <c r="I19" s="8">
        <f t="shared" si="3"/>
        <v>18471.32</v>
      </c>
      <c r="J19" s="8">
        <f t="shared" si="3"/>
        <v>27939.118000000002</v>
      </c>
      <c r="K19" s="8">
        <f t="shared" si="3"/>
        <v>22785</v>
      </c>
      <c r="L19" s="8">
        <f t="shared" ref="L19" si="4">+L5+L9</f>
        <v>22233.891</v>
      </c>
    </row>
    <row r="20" spans="1:12">
      <c r="A20" t="s">
        <v>32</v>
      </c>
      <c r="B20" t="s">
        <v>38</v>
      </c>
      <c r="C20" s="8">
        <f>+C6+C7</f>
        <v>24638.530000000002</v>
      </c>
      <c r="D20" s="8">
        <f t="shared" ref="D20:K20" si="5">+D6+D7</f>
        <v>18772.475000000002</v>
      </c>
      <c r="E20" s="8">
        <f t="shared" si="5"/>
        <v>19168.092000000001</v>
      </c>
      <c r="F20" s="8">
        <f t="shared" si="5"/>
        <v>15997.073000000002</v>
      </c>
      <c r="G20" s="8">
        <f t="shared" si="5"/>
        <v>12455.936</v>
      </c>
      <c r="H20" s="8">
        <f t="shared" si="5"/>
        <v>15160.283000000003</v>
      </c>
      <c r="I20" s="8">
        <f t="shared" si="5"/>
        <v>14857.367</v>
      </c>
      <c r="J20" s="8">
        <f t="shared" si="5"/>
        <v>15426.935999999998</v>
      </c>
      <c r="K20" s="8">
        <f t="shared" si="5"/>
        <v>17383</v>
      </c>
      <c r="L20" s="8">
        <f t="shared" ref="L20" si="6">+L6+L7</f>
        <v>18897.48</v>
      </c>
    </row>
    <row r="21" spans="1:12">
      <c r="A21" t="s">
        <v>33</v>
      </c>
      <c r="B21" t="s">
        <v>38</v>
      </c>
      <c r="C21" s="8">
        <f>+C10</f>
        <v>998.16099999999994</v>
      </c>
      <c r="D21" s="8">
        <f t="shared" ref="D21:K21" si="7">+D10</f>
        <v>875.274</v>
      </c>
      <c r="E21" s="8">
        <f t="shared" si="7"/>
        <v>1086.5530000000001</v>
      </c>
      <c r="F21" s="8">
        <f t="shared" si="7"/>
        <v>2223.1659999999997</v>
      </c>
      <c r="G21" s="8">
        <f t="shared" si="7"/>
        <v>2954.7949999999996</v>
      </c>
      <c r="H21" s="8">
        <f t="shared" si="7"/>
        <v>2765.6449999999995</v>
      </c>
      <c r="I21" s="8">
        <f t="shared" si="7"/>
        <v>1321.5930000000003</v>
      </c>
      <c r="J21" s="8">
        <f t="shared" si="7"/>
        <v>1337.2540000000004</v>
      </c>
      <c r="K21" s="8">
        <f t="shared" si="7"/>
        <v>859</v>
      </c>
      <c r="L21" s="8">
        <f t="shared" ref="L21" si="8">+L10</f>
        <v>403.94400000000002</v>
      </c>
    </row>
    <row r="22" spans="1:12">
      <c r="A22" t="s">
        <v>34</v>
      </c>
      <c r="B22" t="s">
        <v>38</v>
      </c>
      <c r="C22" s="8">
        <f>+C8</f>
        <v>5008.590000000002</v>
      </c>
      <c r="D22" s="8">
        <f t="shared" ref="D22:K22" si="9">+D8</f>
        <v>3974.2920000000008</v>
      </c>
      <c r="E22" s="8">
        <f t="shared" si="9"/>
        <v>4164.3049999999994</v>
      </c>
      <c r="F22" s="8">
        <f t="shared" si="9"/>
        <v>3952.8529999999992</v>
      </c>
      <c r="G22" s="8">
        <f t="shared" si="9"/>
        <v>3878.2079999999996</v>
      </c>
      <c r="H22" s="8">
        <f t="shared" si="9"/>
        <v>3005.3989999999994</v>
      </c>
      <c r="I22" s="8">
        <f t="shared" si="9"/>
        <v>2786.4630000000011</v>
      </c>
      <c r="J22" s="8">
        <f t="shared" si="9"/>
        <v>2391.0499999999993</v>
      </c>
      <c r="K22" s="8">
        <f t="shared" si="9"/>
        <v>2448</v>
      </c>
      <c r="L22" s="8">
        <f t="shared" ref="L22" si="10">+L8</f>
        <v>1814.3310000000001</v>
      </c>
    </row>
    <row r="23" spans="1:12">
      <c r="A23" t="s">
        <v>35</v>
      </c>
      <c r="B23" t="s">
        <v>38</v>
      </c>
      <c r="C23" s="8">
        <f>+C13</f>
        <v>84717.106</v>
      </c>
      <c r="D23" s="8">
        <f t="shared" ref="D23:K23" si="11">+D13</f>
        <v>70999.444999999992</v>
      </c>
      <c r="E23" s="8">
        <f t="shared" si="11"/>
        <v>69790.446000000011</v>
      </c>
      <c r="F23" s="8">
        <f t="shared" si="11"/>
        <v>79137.777999999991</v>
      </c>
      <c r="G23" s="8">
        <f t="shared" si="11"/>
        <v>84524.870000000024</v>
      </c>
      <c r="H23" s="8">
        <f t="shared" si="11"/>
        <v>98534.119000000006</v>
      </c>
      <c r="I23" s="8">
        <f t="shared" si="11"/>
        <v>103010.561</v>
      </c>
      <c r="J23" s="8">
        <f t="shared" si="11"/>
        <v>116144.68799999998</v>
      </c>
      <c r="K23" s="8">
        <f t="shared" si="11"/>
        <v>104678</v>
      </c>
      <c r="L23" s="8">
        <f t="shared" ref="L23" si="12">+L13</f>
        <v>93460.433000000005</v>
      </c>
    </row>
    <row r="26" spans="1:12">
      <c r="C26" s="9" t="s">
        <v>22</v>
      </c>
      <c r="D26" s="9" t="s">
        <v>23</v>
      </c>
      <c r="E26" s="9" t="s">
        <v>24</v>
      </c>
      <c r="F26" s="9" t="s">
        <v>25</v>
      </c>
      <c r="G26" s="9" t="s">
        <v>26</v>
      </c>
      <c r="H26" s="9" t="s">
        <v>27</v>
      </c>
      <c r="I26" s="9" t="s">
        <v>36</v>
      </c>
      <c r="J26" s="9" t="s">
        <v>28</v>
      </c>
      <c r="K26" s="9" t="s">
        <v>29</v>
      </c>
      <c r="L26" s="9" t="s">
        <v>42</v>
      </c>
    </row>
    <row r="27" spans="1:12">
      <c r="A27" t="s">
        <v>30</v>
      </c>
      <c r="B27" t="s">
        <v>40</v>
      </c>
      <c r="C27" s="7">
        <v>27918</v>
      </c>
      <c r="D27" s="7">
        <v>27168</v>
      </c>
      <c r="E27" s="7">
        <v>29346</v>
      </c>
      <c r="F27" s="7">
        <v>33839</v>
      </c>
      <c r="G27" s="7">
        <v>53734</v>
      </c>
      <c r="H27" s="7">
        <v>42318</v>
      </c>
      <c r="I27" s="7">
        <v>73093</v>
      </c>
      <c r="J27" s="7">
        <v>55389</v>
      </c>
      <c r="K27" s="7">
        <v>56413</v>
      </c>
      <c r="L27">
        <f>43031+28463+716.5</f>
        <v>72210.5</v>
      </c>
    </row>
    <row r="28" spans="1:12">
      <c r="A28" t="s">
        <v>37</v>
      </c>
      <c r="B28" t="s">
        <v>40</v>
      </c>
      <c r="C28" s="7">
        <v>23871</v>
      </c>
      <c r="D28" s="7">
        <v>11909</v>
      </c>
      <c r="E28" s="7">
        <v>8725</v>
      </c>
      <c r="F28" s="7">
        <v>13302</v>
      </c>
      <c r="G28" s="7">
        <v>17365</v>
      </c>
      <c r="H28" s="7">
        <v>11375</v>
      </c>
      <c r="I28" s="7">
        <v>23579</v>
      </c>
      <c r="J28" s="7">
        <v>22878</v>
      </c>
      <c r="K28" s="7">
        <v>22070</v>
      </c>
      <c r="L28" s="7">
        <f>29524+200</f>
        <v>29724</v>
      </c>
    </row>
    <row r="29" spans="1:12">
      <c r="A29" t="s">
        <v>32</v>
      </c>
      <c r="B29" t="s">
        <v>40</v>
      </c>
      <c r="C29" s="7">
        <v>7451</v>
      </c>
      <c r="D29" s="7">
        <v>5620</v>
      </c>
      <c r="E29" s="7">
        <v>13958</v>
      </c>
      <c r="F29" s="7">
        <v>12538</v>
      </c>
      <c r="G29" s="7">
        <v>10832</v>
      </c>
      <c r="H29" s="7">
        <v>9022</v>
      </c>
      <c r="I29" s="7">
        <v>15923</v>
      </c>
      <c r="J29" s="7">
        <v>12648</v>
      </c>
      <c r="K29" s="7">
        <v>13995</v>
      </c>
      <c r="L29" s="7">
        <f>18578+1357</f>
        <v>19935</v>
      </c>
    </row>
    <row r="30" spans="1:12">
      <c r="A30" t="s">
        <v>33</v>
      </c>
      <c r="B30" t="s">
        <v>40</v>
      </c>
      <c r="C30" s="7">
        <v>1067</v>
      </c>
      <c r="D30" s="7">
        <v>394</v>
      </c>
      <c r="E30" s="7">
        <v>1118</v>
      </c>
      <c r="F30" s="7">
        <v>2435</v>
      </c>
      <c r="G30" s="7">
        <v>3881</v>
      </c>
      <c r="H30" s="7">
        <v>2176</v>
      </c>
      <c r="I30" s="7">
        <v>3458</v>
      </c>
      <c r="J30" s="7">
        <v>2343</v>
      </c>
      <c r="K30" s="7">
        <v>1444</v>
      </c>
      <c r="L30" s="7">
        <f>1012+320</f>
        <v>1332</v>
      </c>
    </row>
    <row r="31" spans="1:12">
      <c r="A31" t="s">
        <v>34</v>
      </c>
      <c r="B31" t="s">
        <v>40</v>
      </c>
      <c r="C31" s="7">
        <v>7505</v>
      </c>
      <c r="D31" s="7">
        <v>5922</v>
      </c>
      <c r="E31" s="7">
        <v>5209</v>
      </c>
      <c r="F31" s="7">
        <v>3968</v>
      </c>
      <c r="G31" s="7">
        <v>4383</v>
      </c>
      <c r="H31" s="7">
        <v>2162</v>
      </c>
      <c r="I31" s="7">
        <v>4377</v>
      </c>
      <c r="J31" s="7">
        <v>2818</v>
      </c>
      <c r="K31" s="7">
        <v>3037</v>
      </c>
      <c r="L31" s="7">
        <v>3429</v>
      </c>
    </row>
    <row r="32" spans="1:12">
      <c r="A32" t="s">
        <v>35</v>
      </c>
      <c r="B32" t="s">
        <v>40</v>
      </c>
      <c r="C32" s="8">
        <f>SUM(C27:C31)</f>
        <v>67812</v>
      </c>
      <c r="D32" s="8">
        <f t="shared" ref="D32:K32" si="13">SUM(D27:D31)</f>
        <v>51013</v>
      </c>
      <c r="E32" s="8">
        <f t="shared" si="13"/>
        <v>58356</v>
      </c>
      <c r="F32" s="8">
        <f t="shared" si="13"/>
        <v>66082</v>
      </c>
      <c r="G32" s="8">
        <f t="shared" si="13"/>
        <v>90195</v>
      </c>
      <c r="H32" s="8">
        <f t="shared" si="13"/>
        <v>67053</v>
      </c>
      <c r="I32" s="8">
        <f t="shared" si="13"/>
        <v>120430</v>
      </c>
      <c r="J32" s="8">
        <f t="shared" si="13"/>
        <v>96076</v>
      </c>
      <c r="K32" s="8">
        <f t="shared" si="13"/>
        <v>96959</v>
      </c>
      <c r="L32" s="8">
        <f>SUM(L27:L31)</f>
        <v>126630.5</v>
      </c>
    </row>
    <row r="34" spans="1:12">
      <c r="C34" s="9" t="s">
        <v>22</v>
      </c>
      <c r="D34" s="9" t="s">
        <v>23</v>
      </c>
      <c r="E34" s="9" t="s">
        <v>24</v>
      </c>
      <c r="F34" s="9" t="s">
        <v>25</v>
      </c>
      <c r="G34" s="9" t="s">
        <v>26</v>
      </c>
      <c r="H34" s="9" t="s">
        <v>27</v>
      </c>
      <c r="I34" s="9" t="s">
        <v>36</v>
      </c>
      <c r="J34" s="9" t="s">
        <v>28</v>
      </c>
      <c r="K34" s="9" t="s">
        <v>29</v>
      </c>
      <c r="L34" s="9" t="s">
        <v>42</v>
      </c>
    </row>
    <row r="35" spans="1:12">
      <c r="A35" t="s">
        <v>30</v>
      </c>
      <c r="B35" t="s">
        <v>39</v>
      </c>
      <c r="C35" s="10">
        <f>+C18/C27</f>
        <v>1.112795293359123</v>
      </c>
      <c r="D35" s="10">
        <f t="shared" ref="D35:K35" si="14">+D18/D27</f>
        <v>1.231289090106007</v>
      </c>
      <c r="E35" s="10">
        <f t="shared" si="14"/>
        <v>1.1905148912969401</v>
      </c>
      <c r="F35" s="10">
        <f t="shared" si="14"/>
        <v>1.2912963444546233</v>
      </c>
      <c r="G35" s="10">
        <f t="shared" si="14"/>
        <v>0.95433937544199232</v>
      </c>
      <c r="H35" s="10">
        <f t="shared" si="14"/>
        <v>1.4189374025237487</v>
      </c>
      <c r="I35" s="10">
        <f t="shared" si="14"/>
        <v>0.89712856224262261</v>
      </c>
      <c r="J35" s="10">
        <f t="shared" si="14"/>
        <v>1.2466433768437772</v>
      </c>
      <c r="K35" s="10">
        <f t="shared" si="14"/>
        <v>1.0817010263591724</v>
      </c>
      <c r="L35" s="10">
        <f t="shared" ref="L35" si="15">+L18/L27</f>
        <v>0.6939543002748908</v>
      </c>
    </row>
    <row r="36" spans="1:12">
      <c r="A36" t="s">
        <v>37</v>
      </c>
      <c r="B36" t="s">
        <v>39</v>
      </c>
      <c r="C36" s="10">
        <f t="shared" ref="C36:K40" si="16">+C19/C28</f>
        <v>0.94729638473461519</v>
      </c>
      <c r="D36" s="10">
        <f t="shared" si="16"/>
        <v>1.146321101687799</v>
      </c>
      <c r="E36" s="10">
        <f t="shared" si="16"/>
        <v>1.1460256733524359</v>
      </c>
      <c r="F36" s="10">
        <f t="shared" si="16"/>
        <v>0.97222154563223584</v>
      </c>
      <c r="G36" s="10">
        <f t="shared" si="16"/>
        <v>0.78552358191765037</v>
      </c>
      <c r="H36" s="10">
        <f t="shared" si="16"/>
        <v>1.5237275604395604</v>
      </c>
      <c r="I36" s="10">
        <f t="shared" si="16"/>
        <v>0.7833801263836464</v>
      </c>
      <c r="J36" s="10">
        <f t="shared" si="16"/>
        <v>1.2212220473817643</v>
      </c>
      <c r="K36" s="10">
        <f t="shared" si="16"/>
        <v>1.0323969188944269</v>
      </c>
      <c r="L36" s="10">
        <f t="shared" ref="L36" si="17">+L19/L28</f>
        <v>0.74801140492531282</v>
      </c>
    </row>
    <row r="37" spans="1:12">
      <c r="A37" t="s">
        <v>32</v>
      </c>
      <c r="B37" t="s">
        <v>39</v>
      </c>
      <c r="C37" s="10">
        <f t="shared" si="16"/>
        <v>3.3067413769963765</v>
      </c>
      <c r="D37" s="10">
        <f t="shared" si="16"/>
        <v>3.3402980427046267</v>
      </c>
      <c r="E37" s="10">
        <f t="shared" si="16"/>
        <v>1.3732692362802694</v>
      </c>
      <c r="F37" s="10">
        <f t="shared" si="16"/>
        <v>1.2758871430850216</v>
      </c>
      <c r="G37" s="10">
        <f t="shared" si="16"/>
        <v>1.14992023633678</v>
      </c>
      <c r="H37" s="10">
        <f t="shared" si="16"/>
        <v>1.6803683218798495</v>
      </c>
      <c r="I37" s="10">
        <f t="shared" si="16"/>
        <v>0.93307586510079765</v>
      </c>
      <c r="J37" s="10">
        <f t="shared" si="16"/>
        <v>1.2197134724857683</v>
      </c>
      <c r="K37" s="10">
        <f t="shared" si="16"/>
        <v>1.2420864594498036</v>
      </c>
      <c r="L37" s="10">
        <f t="shared" ref="L37" si="18">+L20/L29</f>
        <v>0.94795485327313767</v>
      </c>
    </row>
    <row r="38" spans="1:12">
      <c r="A38" t="s">
        <v>33</v>
      </c>
      <c r="B38" t="s">
        <v>39</v>
      </c>
      <c r="C38" s="10">
        <f t="shared" si="16"/>
        <v>0.93548359887535137</v>
      </c>
      <c r="D38" s="10">
        <f t="shared" si="16"/>
        <v>2.221507614213198</v>
      </c>
      <c r="E38" s="10">
        <f t="shared" si="16"/>
        <v>0.97187209302325595</v>
      </c>
      <c r="F38" s="10">
        <f t="shared" si="16"/>
        <v>0.91300451745379863</v>
      </c>
      <c r="G38" s="10">
        <f t="shared" si="16"/>
        <v>0.76134887915485694</v>
      </c>
      <c r="H38" s="10">
        <f t="shared" si="16"/>
        <v>1.2709765624999998</v>
      </c>
      <c r="I38" s="10">
        <f t="shared" si="16"/>
        <v>0.3821842105263159</v>
      </c>
      <c r="J38" s="10">
        <f t="shared" si="16"/>
        <v>0.57074434485702108</v>
      </c>
      <c r="K38" s="10">
        <f t="shared" si="16"/>
        <v>0.59487534626038785</v>
      </c>
      <c r="L38" s="10">
        <f t="shared" ref="L38" si="19">+L21/L30</f>
        <v>0.30326126126126129</v>
      </c>
    </row>
    <row r="39" spans="1:12">
      <c r="A39" t="s">
        <v>34</v>
      </c>
      <c r="B39" t="s">
        <v>39</v>
      </c>
      <c r="C39" s="10">
        <f t="shared" si="16"/>
        <v>0.66736708860759519</v>
      </c>
      <c r="D39" s="10">
        <f t="shared" si="16"/>
        <v>0.67110638297872349</v>
      </c>
      <c r="E39" s="10">
        <f t="shared" si="16"/>
        <v>0.79944423113841412</v>
      </c>
      <c r="F39" s="10">
        <f t="shared" si="16"/>
        <v>0.99618271169354822</v>
      </c>
      <c r="G39" s="10">
        <f t="shared" si="16"/>
        <v>0.88482956878850094</v>
      </c>
      <c r="H39" s="10">
        <f t="shared" si="16"/>
        <v>1.3901012950971321</v>
      </c>
      <c r="I39" s="10">
        <f t="shared" si="16"/>
        <v>0.63661480466072673</v>
      </c>
      <c r="J39" s="10">
        <f t="shared" si="16"/>
        <v>0.84849183818310836</v>
      </c>
      <c r="K39" s="10">
        <f t="shared" si="16"/>
        <v>0.80605861047085936</v>
      </c>
      <c r="L39" s="10">
        <f t="shared" ref="L39" si="20">+L22/L31</f>
        <v>0.52911373578302712</v>
      </c>
    </row>
    <row r="40" spans="1:12">
      <c r="A40" t="s">
        <v>35</v>
      </c>
      <c r="B40" t="s">
        <v>39</v>
      </c>
      <c r="C40" s="10">
        <f t="shared" si="16"/>
        <v>1.2492937238246917</v>
      </c>
      <c r="D40" s="10">
        <f t="shared" si="16"/>
        <v>1.391791210083704</v>
      </c>
      <c r="E40" s="10">
        <f t="shared" si="16"/>
        <v>1.1959429364589762</v>
      </c>
      <c r="F40" s="10">
        <f t="shared" si="16"/>
        <v>1.1975693532278078</v>
      </c>
      <c r="G40" s="10">
        <f t="shared" si="16"/>
        <v>0.93713476356782555</v>
      </c>
      <c r="H40" s="10">
        <f t="shared" si="16"/>
        <v>1.4694960553591936</v>
      </c>
      <c r="I40" s="10">
        <f t="shared" si="16"/>
        <v>0.85535631487170971</v>
      </c>
      <c r="J40" s="10">
        <f t="shared" si="16"/>
        <v>1.2088834672550894</v>
      </c>
      <c r="K40" s="10">
        <f t="shared" si="16"/>
        <v>1.0796109695850824</v>
      </c>
      <c r="L40" s="10">
        <f t="shared" ref="L40" si="21">+L23/L32</f>
        <v>0.73805625816845077</v>
      </c>
    </row>
    <row r="41" spans="1:12">
      <c r="C41" s="10"/>
      <c r="D41" s="10"/>
      <c r="E41" s="10"/>
      <c r="F41" s="10"/>
      <c r="G41" s="10"/>
      <c r="H41" s="10"/>
      <c r="I41" s="10"/>
      <c r="J41" s="10"/>
      <c r="K41" s="10"/>
      <c r="L41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6"/>
  <sheetViews>
    <sheetView topLeftCell="A106" workbookViewId="0">
      <selection activeCell="A126" sqref="A126:C136"/>
    </sheetView>
  </sheetViews>
  <sheetFormatPr defaultRowHeight="15"/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s="3">
        <v>314121</v>
      </c>
      <c r="C2" s="4">
        <v>61022</v>
      </c>
    </row>
    <row r="3" spans="1:3">
      <c r="A3" t="s">
        <v>9</v>
      </c>
      <c r="B3" s="3">
        <v>66104.989999999947</v>
      </c>
      <c r="C3" s="4">
        <v>13026</v>
      </c>
    </row>
    <row r="4" spans="1:3">
      <c r="A4" t="s">
        <v>4</v>
      </c>
      <c r="B4" s="3">
        <f>103174+12919</f>
        <v>116093</v>
      </c>
      <c r="C4" s="4">
        <v>20313</v>
      </c>
    </row>
    <row r="5" spans="1:3">
      <c r="A5" t="s">
        <v>41</v>
      </c>
      <c r="B5" s="3">
        <v>0</v>
      </c>
      <c r="C5" s="4">
        <v>0</v>
      </c>
    </row>
    <row r="6" spans="1:3">
      <c r="A6" t="s">
        <v>5</v>
      </c>
      <c r="B6" s="3">
        <v>23140</v>
      </c>
      <c r="C6" s="4">
        <v>4357</v>
      </c>
    </row>
    <row r="7" spans="1:3">
      <c r="A7" t="s">
        <v>6</v>
      </c>
      <c r="B7" s="3">
        <v>0</v>
      </c>
      <c r="C7" s="4">
        <v>2472</v>
      </c>
    </row>
    <row r="8" spans="1:3">
      <c r="A8" t="s">
        <v>7</v>
      </c>
      <c r="B8" s="3">
        <v>12835</v>
      </c>
      <c r="C8" s="4">
        <v>2448</v>
      </c>
    </row>
    <row r="9" spans="1:3">
      <c r="A9" t="s">
        <v>8</v>
      </c>
      <c r="B9" s="3">
        <v>4044</v>
      </c>
      <c r="C9" s="4">
        <v>859</v>
      </c>
    </row>
    <row r="10" spans="1:3">
      <c r="A10" s="1" t="s">
        <v>10</v>
      </c>
      <c r="B10" s="5">
        <f>SUM(B2:B9)</f>
        <v>536337.99</v>
      </c>
      <c r="C10" s="6">
        <v>104678</v>
      </c>
    </row>
    <row r="12" spans="1:3">
      <c r="A12" t="s">
        <v>11</v>
      </c>
    </row>
    <row r="15" spans="1:3">
      <c r="A15" s="2" t="s">
        <v>0</v>
      </c>
      <c r="B15" s="2" t="s">
        <v>1</v>
      </c>
      <c r="C15" s="2" t="s">
        <v>2</v>
      </c>
    </row>
    <row r="16" spans="1:3">
      <c r="A16" t="s">
        <v>3</v>
      </c>
      <c r="B16" s="3">
        <v>354147.17000000027</v>
      </c>
      <c r="C16" s="4">
        <v>69050.329999999973</v>
      </c>
    </row>
    <row r="17" spans="1:3">
      <c r="A17" t="s">
        <v>4</v>
      </c>
      <c r="B17" s="3">
        <v>67303.010000000009</v>
      </c>
      <c r="C17" s="4">
        <v>13388.441000000001</v>
      </c>
    </row>
    <row r="18" spans="1:3">
      <c r="A18" t="s">
        <v>41</v>
      </c>
      <c r="B18" s="3">
        <v>60471.58</v>
      </c>
      <c r="C18" s="4">
        <v>11793.722</v>
      </c>
    </row>
    <row r="19" spans="1:3">
      <c r="A19" t="s">
        <v>9</v>
      </c>
      <c r="B19" s="3">
        <v>39571.78</v>
      </c>
      <c r="C19" s="4">
        <v>7957.9650000000001</v>
      </c>
    </row>
    <row r="20" spans="1:3">
      <c r="A20" t="s">
        <v>5</v>
      </c>
      <c r="B20" s="3">
        <v>37238.630000000005</v>
      </c>
      <c r="C20" s="4">
        <v>7468.9709999999986</v>
      </c>
    </row>
    <row r="21" spans="1:3">
      <c r="A21" t="s">
        <v>6</v>
      </c>
      <c r="B21" s="3">
        <v>14527.809999999998</v>
      </c>
      <c r="C21" s="4">
        <v>2756.9549999999999</v>
      </c>
    </row>
    <row r="22" spans="1:3">
      <c r="A22" t="s">
        <v>7</v>
      </c>
      <c r="B22" s="3">
        <v>12323.419999999995</v>
      </c>
      <c r="C22" s="4">
        <v>2391.0499999999993</v>
      </c>
    </row>
    <row r="23" spans="1:3">
      <c r="A23" t="s">
        <v>8</v>
      </c>
      <c r="B23" s="3">
        <v>6223.53</v>
      </c>
      <c r="C23" s="4">
        <v>1337.2540000000004</v>
      </c>
    </row>
    <row r="24" spans="1:3">
      <c r="A24" s="1" t="s">
        <v>10</v>
      </c>
      <c r="B24" s="5">
        <v>591806.93000000017</v>
      </c>
      <c r="C24" s="6">
        <v>116144.6880000001</v>
      </c>
    </row>
    <row r="26" spans="1:3">
      <c r="A26" t="s">
        <v>12</v>
      </c>
    </row>
    <row r="28" spans="1:3">
      <c r="A28" s="2" t="s">
        <v>0</v>
      </c>
      <c r="B28" s="2" t="s">
        <v>1</v>
      </c>
      <c r="C28" s="2" t="s">
        <v>2</v>
      </c>
    </row>
    <row r="29" spans="1:3">
      <c r="A29" t="s">
        <v>3</v>
      </c>
      <c r="B29" s="3">
        <v>339618.67000000004</v>
      </c>
      <c r="C29" s="4">
        <v>65573.818000000014</v>
      </c>
    </row>
    <row r="30" spans="1:3">
      <c r="A30" t="s">
        <v>4</v>
      </c>
      <c r="B30" s="3">
        <v>68249.55</v>
      </c>
      <c r="C30" s="4">
        <v>13534.945</v>
      </c>
    </row>
    <row r="31" spans="1:3">
      <c r="A31" t="s">
        <v>5</v>
      </c>
      <c r="B31" s="3">
        <v>52489.649999999994</v>
      </c>
      <c r="C31" s="4">
        <v>10918.678</v>
      </c>
    </row>
    <row r="32" spans="1:3">
      <c r="A32" t="s">
        <v>9</v>
      </c>
      <c r="B32" s="3">
        <v>19221.2</v>
      </c>
      <c r="C32" s="4">
        <v>3938.6889999999999</v>
      </c>
    </row>
    <row r="33" spans="1:3">
      <c r="A33" t="s">
        <v>6</v>
      </c>
      <c r="B33" s="3">
        <v>17887.13</v>
      </c>
      <c r="C33" s="4">
        <v>3466.6190000000001</v>
      </c>
    </row>
    <row r="34" spans="1:3">
      <c r="A34" t="s">
        <v>7</v>
      </c>
      <c r="B34" s="3">
        <v>14166.759999999998</v>
      </c>
      <c r="C34" s="4">
        <v>2786.4630000000011</v>
      </c>
    </row>
    <row r="35" spans="1:3">
      <c r="A35" t="s">
        <v>41</v>
      </c>
      <c r="B35" s="3">
        <v>7679.590000000002</v>
      </c>
      <c r="C35" s="4">
        <v>1469.7559999999999</v>
      </c>
    </row>
    <row r="36" spans="1:3">
      <c r="A36" t="s">
        <v>8</v>
      </c>
      <c r="B36" s="3">
        <v>6552.5800000000008</v>
      </c>
      <c r="C36" s="4">
        <v>1321.5930000000003</v>
      </c>
    </row>
    <row r="37" spans="1:3">
      <c r="A37" s="1" t="s">
        <v>10</v>
      </c>
      <c r="B37" s="5">
        <v>525865.13</v>
      </c>
      <c r="C37" s="6">
        <v>103010.561</v>
      </c>
    </row>
    <row r="39" spans="1:3">
      <c r="A39" t="s">
        <v>13</v>
      </c>
    </row>
    <row r="41" spans="1:3">
      <c r="A41" s="2" t="s">
        <v>0</v>
      </c>
      <c r="B41" s="2" t="s">
        <v>1</v>
      </c>
      <c r="C41" s="2" t="s">
        <v>2</v>
      </c>
    </row>
    <row r="42" spans="1:3">
      <c r="A42" t="s">
        <v>3</v>
      </c>
      <c r="B42" s="3">
        <v>314486.31999999995</v>
      </c>
      <c r="C42" s="4">
        <v>60046.592999999993</v>
      </c>
    </row>
    <row r="43" spans="1:3">
      <c r="A43" t="s">
        <v>4</v>
      </c>
      <c r="B43" s="3">
        <v>68903.850000000006</v>
      </c>
      <c r="C43" s="4">
        <v>13558.781999999999</v>
      </c>
    </row>
    <row r="44" spans="1:3">
      <c r="A44" t="s">
        <v>5</v>
      </c>
      <c r="B44" s="3">
        <v>43698.459999999992</v>
      </c>
      <c r="C44" s="4">
        <v>9061.2990000000009</v>
      </c>
    </row>
    <row r="45" spans="1:3">
      <c r="A45" t="s">
        <v>9</v>
      </c>
      <c r="B45" s="3">
        <v>29343.170000000009</v>
      </c>
      <c r="C45" s="4">
        <v>6098.9840000000013</v>
      </c>
    </row>
    <row r="46" spans="1:3">
      <c r="A46" t="s">
        <v>6</v>
      </c>
      <c r="B46" s="3">
        <v>19978.130000000008</v>
      </c>
      <c r="C46" s="4">
        <v>3773.6190000000001</v>
      </c>
    </row>
    <row r="47" spans="1:3">
      <c r="A47" t="s">
        <v>7</v>
      </c>
      <c r="B47" s="3">
        <v>15000.030000000002</v>
      </c>
      <c r="C47" s="4">
        <v>3005.3989999999994</v>
      </c>
    </row>
    <row r="48" spans="1:3">
      <c r="A48" t="s">
        <v>8</v>
      </c>
      <c r="B48" s="3">
        <v>13589.760000000004</v>
      </c>
      <c r="C48" s="4">
        <v>2765.6449999999995</v>
      </c>
    </row>
    <row r="49" spans="1:3">
      <c r="A49" t="s">
        <v>14</v>
      </c>
      <c r="B49" s="3">
        <v>1131.23</v>
      </c>
      <c r="C49" s="4">
        <v>223.798</v>
      </c>
    </row>
    <row r="50" spans="1:3">
      <c r="A50" s="1" t="s">
        <v>10</v>
      </c>
      <c r="B50" s="5">
        <v>506130.94999999995</v>
      </c>
      <c r="C50" s="6">
        <v>98534.118999999992</v>
      </c>
    </row>
    <row r="52" spans="1:3">
      <c r="A52" t="s">
        <v>15</v>
      </c>
    </row>
    <row r="54" spans="1:3">
      <c r="A54" s="2" t="s">
        <v>0</v>
      </c>
      <c r="B54" s="2" t="s">
        <v>1</v>
      </c>
      <c r="C54" s="2" t="s">
        <v>2</v>
      </c>
    </row>
    <row r="55" spans="1:3">
      <c r="A55" t="s">
        <v>3</v>
      </c>
      <c r="B55" s="3">
        <v>272192.20999999996</v>
      </c>
      <c r="C55" s="4">
        <v>51280.472000000016</v>
      </c>
    </row>
    <row r="56" spans="1:3">
      <c r="A56" t="s">
        <v>4</v>
      </c>
      <c r="B56" s="3">
        <v>57471.270000000011</v>
      </c>
      <c r="C56" s="4">
        <v>11049.900999999998</v>
      </c>
    </row>
    <row r="57" spans="1:3">
      <c r="A57" t="s">
        <v>5</v>
      </c>
      <c r="B57" s="3">
        <v>31006.309999999998</v>
      </c>
      <c r="C57" s="4">
        <v>6241.4039999999986</v>
      </c>
    </row>
    <row r="58" spans="1:3">
      <c r="A58" t="s">
        <v>9</v>
      </c>
      <c r="B58" s="3">
        <v>30401.260000000006</v>
      </c>
      <c r="C58" s="4">
        <v>6214.5320000000011</v>
      </c>
    </row>
    <row r="59" spans="1:3">
      <c r="A59" t="s">
        <v>7</v>
      </c>
      <c r="B59" s="3">
        <v>17986.030000000006</v>
      </c>
      <c r="C59" s="4">
        <v>3878.2079999999996</v>
      </c>
    </row>
    <row r="60" spans="1:3">
      <c r="A60" t="s">
        <v>8</v>
      </c>
      <c r="B60" s="3">
        <v>14998.869999999995</v>
      </c>
      <c r="C60" s="4">
        <v>2954.7949999999996</v>
      </c>
    </row>
    <row r="61" spans="1:3">
      <c r="A61" t="s">
        <v>6</v>
      </c>
      <c r="B61" s="3">
        <v>13852.24</v>
      </c>
      <c r="C61" s="4">
        <v>2590.7159999999999</v>
      </c>
    </row>
    <row r="62" spans="1:3">
      <c r="A62" t="s">
        <v>14</v>
      </c>
      <c r="B62" s="3">
        <v>1660.37</v>
      </c>
      <c r="C62" s="4">
        <v>314.84200000000004</v>
      </c>
    </row>
    <row r="63" spans="1:3">
      <c r="A63" s="1" t="s">
        <v>10</v>
      </c>
      <c r="B63" s="5">
        <v>439568.56</v>
      </c>
      <c r="C63" s="6">
        <v>84524.87</v>
      </c>
    </row>
    <row r="65" spans="1:3">
      <c r="A65" t="s">
        <v>16</v>
      </c>
    </row>
    <row r="68" spans="1:3">
      <c r="A68" s="2" t="s">
        <v>0</v>
      </c>
      <c r="B68" s="2" t="s">
        <v>1</v>
      </c>
      <c r="C68" s="2" t="s">
        <v>2</v>
      </c>
    </row>
    <row r="69" spans="1:3">
      <c r="A69" t="s">
        <v>3</v>
      </c>
      <c r="B69" s="3">
        <v>225162.90000000002</v>
      </c>
      <c r="C69" s="4">
        <v>43696.176999999996</v>
      </c>
    </row>
    <row r="70" spans="1:3">
      <c r="A70" t="s">
        <v>4</v>
      </c>
      <c r="B70" s="3">
        <v>49890.65</v>
      </c>
      <c r="C70" s="4">
        <v>9913.5420000000013</v>
      </c>
    </row>
    <row r="71" spans="1:3">
      <c r="A71" t="s">
        <v>5</v>
      </c>
      <c r="B71" s="3">
        <v>45009.509999999995</v>
      </c>
      <c r="C71" s="4">
        <v>9149.496000000001</v>
      </c>
    </row>
    <row r="72" spans="1:3">
      <c r="A72" t="s">
        <v>9</v>
      </c>
      <c r="B72" s="3">
        <v>33711.799999999996</v>
      </c>
      <c r="C72" s="4">
        <v>6847.5770000000011</v>
      </c>
    </row>
    <row r="73" spans="1:3">
      <c r="A73" t="s">
        <v>7</v>
      </c>
      <c r="B73" s="3">
        <v>20110.879999999997</v>
      </c>
      <c r="C73" s="4">
        <v>3952.8529999999992</v>
      </c>
    </row>
    <row r="74" spans="1:3">
      <c r="A74" t="s">
        <v>6</v>
      </c>
      <c r="B74" s="3">
        <v>15888.030000000002</v>
      </c>
      <c r="C74" s="4">
        <v>3018.9490000000001</v>
      </c>
    </row>
    <row r="75" spans="1:3">
      <c r="A75" t="s">
        <v>8</v>
      </c>
      <c r="B75" s="3">
        <v>11216.1</v>
      </c>
      <c r="C75" s="4">
        <v>2223.1659999999997</v>
      </c>
    </row>
    <row r="76" spans="1:3">
      <c r="A76" t="s">
        <v>14</v>
      </c>
      <c r="B76" s="3">
        <v>1395.33</v>
      </c>
      <c r="C76" s="4">
        <v>271.27699999999999</v>
      </c>
    </row>
    <row r="77" spans="1:3">
      <c r="A77" t="s">
        <v>17</v>
      </c>
      <c r="B77" s="3">
        <v>284.8</v>
      </c>
      <c r="C77" s="4">
        <v>64.741</v>
      </c>
    </row>
    <row r="78" spans="1:3">
      <c r="A78" s="1" t="s">
        <v>10</v>
      </c>
      <c r="B78" s="5">
        <v>402670.00000000006</v>
      </c>
      <c r="C78" s="6">
        <v>79137.77800000002</v>
      </c>
    </row>
    <row r="80" spans="1:3">
      <c r="A80" t="s">
        <v>18</v>
      </c>
    </row>
    <row r="82" spans="1:3">
      <c r="A82" s="2" t="s">
        <v>0</v>
      </c>
      <c r="B82" s="2" t="s">
        <v>1</v>
      </c>
      <c r="C82" s="2" t="s">
        <v>2</v>
      </c>
    </row>
    <row r="83" spans="1:3">
      <c r="A83" t="s">
        <v>3</v>
      </c>
      <c r="B83" s="3">
        <v>176266.86999999994</v>
      </c>
      <c r="C83" s="4">
        <v>34936.850000000006</v>
      </c>
    </row>
    <row r="84" spans="1:3">
      <c r="A84" t="s">
        <v>5</v>
      </c>
      <c r="B84" s="3">
        <v>59120.220000000023</v>
      </c>
      <c r="C84" s="4">
        <v>12247.506000000001</v>
      </c>
    </row>
    <row r="85" spans="1:3">
      <c r="A85" t="s">
        <v>4</v>
      </c>
      <c r="B85" s="3">
        <v>34164.120000000003</v>
      </c>
      <c r="C85" s="4">
        <v>6691.9400000000014</v>
      </c>
    </row>
    <row r="86" spans="1:3">
      <c r="A86" t="s">
        <v>9</v>
      </c>
      <c r="B86" s="3">
        <v>33547.960000000014</v>
      </c>
      <c r="C86" s="4">
        <v>6920.5859999999993</v>
      </c>
    </row>
    <row r="87" spans="1:3">
      <c r="A87" t="s">
        <v>7</v>
      </c>
      <c r="B87" s="3">
        <v>21836.379999999997</v>
      </c>
      <c r="C87" s="4">
        <v>4164.3049999999994</v>
      </c>
    </row>
    <row r="88" spans="1:3">
      <c r="A88" t="s">
        <v>6</v>
      </c>
      <c r="B88" s="3">
        <v>17019.000000000004</v>
      </c>
      <c r="C88" s="4">
        <v>3307.1340000000009</v>
      </c>
    </row>
    <row r="89" spans="1:3">
      <c r="A89" t="s">
        <v>8</v>
      </c>
      <c r="B89" s="3">
        <v>5330.63</v>
      </c>
      <c r="C89" s="4">
        <v>1086.5530000000001</v>
      </c>
    </row>
    <row r="90" spans="1:3">
      <c r="A90" t="s">
        <v>14</v>
      </c>
      <c r="B90" s="3">
        <v>1536.4</v>
      </c>
      <c r="C90" s="4">
        <v>311.95499999999998</v>
      </c>
    </row>
    <row r="91" spans="1:3">
      <c r="A91" t="s">
        <v>17</v>
      </c>
      <c r="B91" s="3">
        <v>592.07000000000005</v>
      </c>
      <c r="C91" s="4">
        <v>123.61699999999999</v>
      </c>
    </row>
    <row r="92" spans="1:3">
      <c r="A92" s="1" t="s">
        <v>10</v>
      </c>
      <c r="B92" s="5">
        <v>349413.65</v>
      </c>
      <c r="C92" s="6">
        <v>69790.445999999996</v>
      </c>
    </row>
    <row r="94" spans="1:3">
      <c r="A94" t="s">
        <v>19</v>
      </c>
    </row>
    <row r="96" spans="1:3">
      <c r="A96" s="2" t="s">
        <v>0</v>
      </c>
      <c r="B96" s="2" t="s">
        <v>1</v>
      </c>
      <c r="C96" s="2" t="s">
        <v>2</v>
      </c>
    </row>
    <row r="97" spans="1:3">
      <c r="A97" t="s">
        <v>3</v>
      </c>
      <c r="B97" s="3">
        <v>166975.13999999996</v>
      </c>
      <c r="C97" s="4">
        <v>33451.661999999997</v>
      </c>
    </row>
    <row r="98" spans="1:3">
      <c r="A98" t="s">
        <v>4</v>
      </c>
      <c r="B98" s="3">
        <v>56848.369999999988</v>
      </c>
      <c r="C98" s="4">
        <v>11169.875</v>
      </c>
    </row>
    <row r="99" spans="1:3">
      <c r="A99" t="s">
        <v>5</v>
      </c>
      <c r="B99" s="3">
        <v>52759.219999999987</v>
      </c>
      <c r="C99" s="4">
        <v>10691.402000000004</v>
      </c>
    </row>
    <row r="100" spans="1:3">
      <c r="A100" t="s">
        <v>9</v>
      </c>
      <c r="B100" s="3">
        <v>39841.650000000009</v>
      </c>
      <c r="C100" s="4">
        <v>8081.0729999999994</v>
      </c>
    </row>
    <row r="101" spans="1:3">
      <c r="A101" t="s">
        <v>7</v>
      </c>
      <c r="B101" s="3">
        <v>21273.999999999996</v>
      </c>
      <c r="C101" s="4">
        <v>3974.2920000000008</v>
      </c>
    </row>
    <row r="102" spans="1:3">
      <c r="A102" t="s">
        <v>6</v>
      </c>
      <c r="B102" s="3">
        <v>12865.270000000006</v>
      </c>
      <c r="C102" s="4">
        <v>2481.6629999999991</v>
      </c>
    </row>
    <row r="103" spans="1:3">
      <c r="A103" t="s">
        <v>8</v>
      </c>
      <c r="B103" s="3">
        <v>4259.88</v>
      </c>
      <c r="C103" s="4">
        <v>875.274</v>
      </c>
    </row>
    <row r="104" spans="1:3">
      <c r="A104" t="s">
        <v>14</v>
      </c>
      <c r="B104" s="3">
        <v>1217.56</v>
      </c>
      <c r="C104" s="4">
        <v>231.34399999999999</v>
      </c>
    </row>
    <row r="105" spans="1:3">
      <c r="A105" t="s">
        <v>17</v>
      </c>
      <c r="B105" s="3">
        <v>226.88</v>
      </c>
      <c r="C105" s="4">
        <v>42.86</v>
      </c>
    </row>
    <row r="106" spans="1:3">
      <c r="A106" s="1" t="s">
        <v>10</v>
      </c>
      <c r="B106" s="5">
        <v>356267.97000000003</v>
      </c>
      <c r="C106" s="6">
        <v>70999.445000000007</v>
      </c>
    </row>
    <row r="108" spans="1:3">
      <c r="A108" t="s">
        <v>20</v>
      </c>
    </row>
    <row r="111" spans="1:3">
      <c r="A111" s="2" t="s">
        <v>0</v>
      </c>
      <c r="B111" s="2" t="s">
        <v>1</v>
      </c>
      <c r="C111" s="2" t="s">
        <v>2</v>
      </c>
    </row>
    <row r="112" spans="1:3">
      <c r="A112" t="s">
        <v>3</v>
      </c>
      <c r="B112" s="3">
        <v>147138.99</v>
      </c>
      <c r="C112" s="4">
        <v>31067.018999999993</v>
      </c>
    </row>
    <row r="113" spans="1:3">
      <c r="A113" t="s">
        <v>4</v>
      </c>
      <c r="B113" s="3">
        <v>91344.84</v>
      </c>
      <c r="C113" s="4">
        <v>18422.097000000002</v>
      </c>
    </row>
    <row r="114" spans="1:3">
      <c r="A114" t="s">
        <v>5</v>
      </c>
      <c r="B114" s="3">
        <v>71967.540000000023</v>
      </c>
      <c r="C114" s="4">
        <v>14834.043000000001</v>
      </c>
    </row>
    <row r="115" spans="1:3">
      <c r="A115" t="s">
        <v>9</v>
      </c>
      <c r="B115" s="3">
        <v>46374.160000000018</v>
      </c>
      <c r="C115" s="4">
        <v>9804.487000000001</v>
      </c>
    </row>
    <row r="116" spans="1:3">
      <c r="A116" t="s">
        <v>7</v>
      </c>
      <c r="B116" s="3">
        <v>25302.949999999986</v>
      </c>
      <c r="C116" s="4">
        <v>5008.590000000002</v>
      </c>
    </row>
    <row r="117" spans="1:3">
      <c r="A117" t="s">
        <v>6</v>
      </c>
      <c r="B117" s="3">
        <v>20809.729999999996</v>
      </c>
      <c r="C117" s="4">
        <v>4190.8149999999987</v>
      </c>
    </row>
    <row r="118" spans="1:3">
      <c r="A118" t="s">
        <v>8</v>
      </c>
      <c r="B118" s="3">
        <v>4513.3499999999995</v>
      </c>
      <c r="C118" s="4">
        <v>998.16099999999994</v>
      </c>
    </row>
    <row r="119" spans="1:3">
      <c r="A119" t="s">
        <v>14</v>
      </c>
      <c r="B119" s="3">
        <v>1779.8500000000004</v>
      </c>
      <c r="C119" s="4">
        <v>391.89400000000001</v>
      </c>
    </row>
    <row r="120" spans="1:3">
      <c r="A120" s="1" t="s">
        <v>10</v>
      </c>
      <c r="B120" s="5">
        <v>409231.41000000015</v>
      </c>
      <c r="C120" s="6">
        <v>84717.106000000014</v>
      </c>
    </row>
    <row r="122" spans="1:3">
      <c r="A122" t="s">
        <v>21</v>
      </c>
    </row>
    <row r="126" spans="1:3">
      <c r="A126" s="2" t="s">
        <v>0</v>
      </c>
      <c r="B126" s="2" t="s">
        <v>1</v>
      </c>
      <c r="C126" s="2" t="s">
        <v>2</v>
      </c>
    </row>
    <row r="127" spans="1:3">
      <c r="A127" t="s">
        <v>30</v>
      </c>
      <c r="B127" s="3">
        <v>257642.39000000022</v>
      </c>
      <c r="C127" s="4">
        <v>50110.787000000004</v>
      </c>
    </row>
    <row r="128" spans="1:3">
      <c r="A128" t="s">
        <v>4</v>
      </c>
      <c r="B128" s="3">
        <v>89624.869999999981</v>
      </c>
      <c r="C128" s="4">
        <v>17655.18</v>
      </c>
    </row>
    <row r="129" spans="1:3">
      <c r="A129" t="s">
        <v>9</v>
      </c>
      <c r="B129" s="3">
        <v>55211.100000000006</v>
      </c>
      <c r="C129" s="4">
        <v>10546.275</v>
      </c>
    </row>
    <row r="130" spans="1:3">
      <c r="A130" t="s">
        <v>5</v>
      </c>
      <c r="B130" s="3">
        <v>40135.590000000004</v>
      </c>
      <c r="C130" s="4">
        <v>8351.2049999999999</v>
      </c>
    </row>
    <row r="131" spans="1:3">
      <c r="A131" t="s">
        <v>6</v>
      </c>
      <c r="B131" s="3">
        <v>23947.000000000004</v>
      </c>
      <c r="C131" s="4">
        <v>4578.7110000000002</v>
      </c>
    </row>
    <row r="132" spans="1:3">
      <c r="A132" t="s">
        <v>34</v>
      </c>
      <c r="B132" s="3">
        <v>9417.6200000000008</v>
      </c>
      <c r="C132" s="4">
        <v>1814.3310000000001</v>
      </c>
    </row>
    <row r="133" spans="1:3">
      <c r="A133" t="s">
        <v>33</v>
      </c>
      <c r="B133" s="3">
        <v>1982.2500000000002</v>
      </c>
      <c r="C133" s="4">
        <v>403.94400000000002</v>
      </c>
    </row>
    <row r="134" spans="1:3">
      <c r="A134" s="1" t="s">
        <v>10</v>
      </c>
      <c r="B134" s="5">
        <v>477960.82000000018</v>
      </c>
      <c r="C134" s="6">
        <v>93460.433000000048</v>
      </c>
    </row>
    <row r="136" spans="1:3">
      <c r="A13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sept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Bowen, Jason</dc:creator>
  <cp:lastModifiedBy>Bowen, Jason</cp:lastModifiedBy>
  <dcterms:created xsi:type="dcterms:W3CDTF">2025-10-30T19:08:29Z</dcterms:created>
  <dcterms:modified xsi:type="dcterms:W3CDTF">2025-12-01T23:05:14Z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